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bookViews>
    <workbookView xWindow="0" yWindow="0" windowWidth="5550" windowHeight="5925" firstSheet="1" activeTab="5"/>
  </bookViews>
  <sheets>
    <sheet name="Acceuil" sheetId="1" r:id="rId1"/>
    <sheet name="Proprietaire" sheetId="2" r:id="rId2"/>
    <sheet name="Maison" sheetId="3" r:id="rId3"/>
    <sheet name="Locataire" sheetId="4" r:id="rId4"/>
    <sheet name="Souscription" sheetId="5" r:id="rId5"/>
    <sheet name="Reglement" sheetId="6" r:id="rId6"/>
    <sheet name="Parametre" sheetId="7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9" i="1" l="1"/>
  <c r="R7" i="1" l="1"/>
  <c r="N7" i="1"/>
  <c r="R13" i="1"/>
  <c r="F19" i="1"/>
  <c r="N13" i="1" l="1"/>
  <c r="F13" i="1" l="1"/>
  <c r="J13" i="1" l="1"/>
  <c r="F7" i="1"/>
  <c r="J7" i="1"/>
</calcChain>
</file>

<file path=xl/sharedStrings.xml><?xml version="1.0" encoding="utf-8"?>
<sst xmlns="http://schemas.openxmlformats.org/spreadsheetml/2006/main" count="2101" uniqueCount="699">
  <si>
    <t>Nom_Prenom</t>
  </si>
  <si>
    <t>Contact</t>
  </si>
  <si>
    <t>E-mail</t>
  </si>
  <si>
    <t>Adresse</t>
  </si>
  <si>
    <t>IDM</t>
  </si>
  <si>
    <t>NP_Proprietaire</t>
  </si>
  <si>
    <t>Type de construction</t>
  </si>
  <si>
    <t>Nombre de pièce</t>
  </si>
  <si>
    <t>Cout du loyer</t>
  </si>
  <si>
    <t xml:space="preserve">Ville </t>
  </si>
  <si>
    <t>Commune</t>
  </si>
  <si>
    <t>Quartier</t>
  </si>
  <si>
    <t>Observation</t>
  </si>
  <si>
    <t>Statut</t>
  </si>
  <si>
    <t>Part commission</t>
  </si>
  <si>
    <t>IDS</t>
  </si>
  <si>
    <t>NP_Locataire</t>
  </si>
  <si>
    <t>Date de souscription</t>
  </si>
  <si>
    <t>Montant loyer</t>
  </si>
  <si>
    <t>Nombre de mois caution</t>
  </si>
  <si>
    <t>Montant caution</t>
  </si>
  <si>
    <t>Nombre de mois avance</t>
  </si>
  <si>
    <t>Montant avance</t>
  </si>
  <si>
    <t>Autres frais</t>
  </si>
  <si>
    <t>Montant autre frais</t>
  </si>
  <si>
    <t>Date d'entrée</t>
  </si>
  <si>
    <t>Date debut paiement</t>
  </si>
  <si>
    <t>Statut de la souscription</t>
  </si>
  <si>
    <t>IDR</t>
  </si>
  <si>
    <t>Montant a payer</t>
  </si>
  <si>
    <t>Montant payer</t>
  </si>
  <si>
    <t>Reste a payer</t>
  </si>
  <si>
    <t>Mois concerné</t>
  </si>
  <si>
    <t>Année concernée</t>
  </si>
  <si>
    <t>Date</t>
  </si>
  <si>
    <t>Statut_maison</t>
  </si>
  <si>
    <t>Disponible</t>
  </si>
  <si>
    <t>occupe</t>
  </si>
  <si>
    <t>Maison à l'immeuble</t>
  </si>
  <si>
    <t>Maison basse</t>
  </si>
  <si>
    <t>Type construction</t>
  </si>
  <si>
    <t>Statut_souscription</t>
  </si>
  <si>
    <t>Active</t>
  </si>
  <si>
    <t>Desactive</t>
  </si>
  <si>
    <t>Statut_paiement</t>
  </si>
  <si>
    <t>Mois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</si>
  <si>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</si>
  <si>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</si>
  <si>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</si>
  <si>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</si>
  <si>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</si>
  <si>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</si>
  <si>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</si>
  <si>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</si>
  <si>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</si>
  <si>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</si>
  <si>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</si>
  <si>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</si>
  <si>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LOCATAIRES</t>
  </si>
  <si>
    <t>PROPRIETAIRES</t>
  </si>
  <si>
    <t>MAISONS</t>
  </si>
  <si>
    <t>SOUSCRIPTIONS</t>
  </si>
  <si>
    <t>TABLEAU DE BORD</t>
  </si>
  <si>
    <t>CAUTION</t>
  </si>
  <si>
    <t>AVANCE</t>
  </si>
  <si>
    <t>LOYER</t>
  </si>
  <si>
    <t>LOYER RECU</t>
  </si>
  <si>
    <t>LOYER RESTANT</t>
  </si>
  <si>
    <t>Non payé</t>
  </si>
  <si>
    <t>ACLOMESSI</t>
  </si>
  <si>
    <t>000000000</t>
  </si>
  <si>
    <t>ADJAYI PAULETTE</t>
  </si>
  <si>
    <t>0000000</t>
  </si>
  <si>
    <t>0000000000</t>
  </si>
  <si>
    <t>ADJE ELYSE</t>
  </si>
  <si>
    <t>00000000</t>
  </si>
  <si>
    <t>DOGNON IRENE</t>
  </si>
  <si>
    <t>DEGBOKIN SERAPHIN</t>
  </si>
  <si>
    <t>0000000000000</t>
  </si>
  <si>
    <t>00000</t>
  </si>
  <si>
    <t>DOSSOU YOVO</t>
  </si>
  <si>
    <t>000000</t>
  </si>
  <si>
    <t>DOVONON</t>
  </si>
  <si>
    <t>GBONSOU</t>
  </si>
  <si>
    <t>GLELE</t>
  </si>
  <si>
    <t>OSELY</t>
  </si>
  <si>
    <t>TOGBE</t>
  </si>
  <si>
    <t>TOMAN YVES</t>
  </si>
  <si>
    <t>ATAYI VICTOIRE</t>
  </si>
  <si>
    <t>CHOLE RAPHAEL</t>
  </si>
  <si>
    <t>ADJOVOUN AMELE</t>
  </si>
  <si>
    <t>ANATO WILLIAM</t>
  </si>
  <si>
    <t>BI NOI</t>
  </si>
  <si>
    <t>DJIMENOU</t>
  </si>
  <si>
    <t>HOUESSOU</t>
  </si>
  <si>
    <t>ELISHA ANDRE</t>
  </si>
  <si>
    <t>0000</t>
  </si>
  <si>
    <t>HOUNHENOU</t>
  </si>
  <si>
    <t>SOGLO CLEMENTINE</t>
  </si>
  <si>
    <t xml:space="preserve">HOUNDJO </t>
  </si>
  <si>
    <t>KPETE HOGRE</t>
  </si>
  <si>
    <t>WOSSOU KINDE</t>
  </si>
  <si>
    <t>TOGBE GERARD</t>
  </si>
  <si>
    <t>EVEGRE LOUIS</t>
  </si>
  <si>
    <t>TOFOHOSSOU PELAGIE</t>
  </si>
  <si>
    <t>MAHISSO ROSE</t>
  </si>
  <si>
    <t>DOSSOU YOVO FRANCK</t>
  </si>
  <si>
    <t>LOKO ANDRE</t>
  </si>
  <si>
    <t>AHOUHAN DJINOU</t>
  </si>
  <si>
    <t>ABALLO</t>
  </si>
  <si>
    <t xml:space="preserve">AFFANOU </t>
  </si>
  <si>
    <t>Payé</t>
  </si>
  <si>
    <t>ATTIGNON HENRY</t>
  </si>
  <si>
    <t>BATCHO CONCEPTIA</t>
  </si>
  <si>
    <t>BONI LAURENTIA</t>
  </si>
  <si>
    <t>GOD BLESS</t>
  </si>
  <si>
    <t>KOKLANOU DANIEL</t>
  </si>
  <si>
    <t>000</t>
  </si>
  <si>
    <t>LAKOUSSAN CHARLE</t>
  </si>
  <si>
    <t>MITOKPE TRANQUILAIN</t>
  </si>
  <si>
    <t>KPEGOUTON CORENTIN</t>
  </si>
  <si>
    <t>ABIODON SOPHIE</t>
  </si>
  <si>
    <t xml:space="preserve">AGBASSAGAN NADEGE </t>
  </si>
  <si>
    <t>QSSOGBA PASCAL</t>
  </si>
  <si>
    <t>AZONSI VERONIQUE</t>
  </si>
  <si>
    <t>CODJIA BOSCO</t>
  </si>
  <si>
    <t>FAGBITE ULRICH</t>
  </si>
  <si>
    <t>KAKPO LEVI</t>
  </si>
  <si>
    <t>WINSOU EUNOCK</t>
  </si>
  <si>
    <t>ABENI GERARD</t>
  </si>
  <si>
    <t>ASSOUKPAVI GRATIEN</t>
  </si>
  <si>
    <t>BLEOUSSI HERVE</t>
  </si>
  <si>
    <t>DAVID G. COLOMBE</t>
  </si>
  <si>
    <t>DJOKOTAN HERVE</t>
  </si>
  <si>
    <t>EKE CREPIN</t>
  </si>
  <si>
    <t>ETO IGNACE</t>
  </si>
  <si>
    <t>FANDI PELAGIE</t>
  </si>
  <si>
    <t>GOUDETE MAX AUREL</t>
  </si>
  <si>
    <t>HOUNSA ROLAND</t>
  </si>
  <si>
    <t>HOUNTOHO D. LEA</t>
  </si>
  <si>
    <t>OKE EZECHIEL</t>
  </si>
  <si>
    <t>LASSISSI</t>
  </si>
  <si>
    <t>VIDE</t>
  </si>
  <si>
    <t>VIDE2</t>
  </si>
  <si>
    <t>PROGAZ</t>
  </si>
  <si>
    <t>STEPHANE</t>
  </si>
  <si>
    <t>ZOUMENOU ROMARIC</t>
  </si>
  <si>
    <t>ALFRED GANGA</t>
  </si>
  <si>
    <t>AHOUANSE PRISCA</t>
  </si>
  <si>
    <t>A. GERMAINE</t>
  </si>
  <si>
    <t>AKOTCHAMOU FOSTIN</t>
  </si>
  <si>
    <t>ANGLO CHARLES</t>
  </si>
  <si>
    <t>DAOU DANTE</t>
  </si>
  <si>
    <t>HOUENON MARIUS</t>
  </si>
  <si>
    <t>HOUNGBO MODESTE</t>
  </si>
  <si>
    <t>LOKONON TOUSSAIN</t>
  </si>
  <si>
    <t>MARJOUA CHANTAL</t>
  </si>
  <si>
    <t>ROBERT</t>
  </si>
  <si>
    <t>ZANNOU N. MARIUS</t>
  </si>
  <si>
    <t>HOUEDANOU THOMAS</t>
  </si>
  <si>
    <t>DANGBENON GIOVANI</t>
  </si>
  <si>
    <t>FANOU THIERRY</t>
  </si>
  <si>
    <t>YEBOU GERMAIN</t>
  </si>
  <si>
    <t>SOSSAMINOU ARMEL</t>
  </si>
  <si>
    <t>WANASE PRINCE</t>
  </si>
  <si>
    <t>TCHOGBE ELIE</t>
  </si>
  <si>
    <t>OKE IGNACE</t>
  </si>
  <si>
    <t>ANANI BERNADIN</t>
  </si>
  <si>
    <t>HOUEZE JUDITH</t>
  </si>
  <si>
    <t>VIDE3</t>
  </si>
  <si>
    <t>BILAL</t>
  </si>
  <si>
    <t>SOVI VIVIANE</t>
  </si>
  <si>
    <t>AQUESSON MIRABELE</t>
  </si>
  <si>
    <t>ALLEY FAISSALE</t>
  </si>
  <si>
    <t>ATCHETOUNWE SERGE</t>
  </si>
  <si>
    <t>MOUSTAPHA DIALLO</t>
  </si>
  <si>
    <t>AHOTIN MODESTE</t>
  </si>
  <si>
    <t>ASSOUTO RUTH</t>
  </si>
  <si>
    <t>DA COSTA JUSTINO</t>
  </si>
  <si>
    <t>DADJEDJI GISELE</t>
  </si>
  <si>
    <t>DJIBRIL DINE</t>
  </si>
  <si>
    <t>GBOGBANOU HERVE</t>
  </si>
  <si>
    <t>HEDJE ROLAND</t>
  </si>
  <si>
    <t>HOUNDJAME SIMON</t>
  </si>
  <si>
    <t>KPADE APPOLLINAIRE</t>
  </si>
  <si>
    <t>MR ALIMA</t>
  </si>
  <si>
    <t>NAINI PROSPERE</t>
  </si>
  <si>
    <t>YANISSE</t>
  </si>
  <si>
    <t>YAOU ABDELHAMID</t>
  </si>
  <si>
    <t>ABDOULAYE</t>
  </si>
  <si>
    <t>ABDOULKADIRI MOUSSA</t>
  </si>
  <si>
    <t>ABDOULAYE AMADOU</t>
  </si>
  <si>
    <t>AGBOTE YAO</t>
  </si>
  <si>
    <t>AKPONON BERENICE</t>
  </si>
  <si>
    <t>ATAKPALOTE AMED</t>
  </si>
  <si>
    <t>BOCCO</t>
  </si>
  <si>
    <t>CHAORDE GUILLAUME</t>
  </si>
  <si>
    <t>EGBETOWOKPO MAX ZELL</t>
  </si>
  <si>
    <t>EKLOU MARCIANO</t>
  </si>
  <si>
    <t>HOUNGBEDJI ABEL</t>
  </si>
  <si>
    <t>IMRANE HALIDOU</t>
  </si>
  <si>
    <t>KODEGNON DODJI</t>
  </si>
  <si>
    <t>AKPO TLISTENE</t>
  </si>
  <si>
    <t>LEDJI PELAGIE</t>
  </si>
  <si>
    <t>MAMAN LUC</t>
  </si>
  <si>
    <t>OUMAR ADAM</t>
  </si>
  <si>
    <t xml:space="preserve">OUMAR ASSAN </t>
  </si>
  <si>
    <t xml:space="preserve">TOSSOU JUSTIN </t>
  </si>
  <si>
    <t>VIDE4</t>
  </si>
  <si>
    <t>VIDE 5</t>
  </si>
  <si>
    <t>YOKODOU BEATRICE</t>
  </si>
  <si>
    <t xml:space="preserve">MIRETTE </t>
  </si>
  <si>
    <t>KPATENON PAOLO</t>
  </si>
  <si>
    <t>RETENARDO</t>
  </si>
  <si>
    <t>BOYI RENE</t>
  </si>
  <si>
    <t>MR TOSSOU GEORGE</t>
  </si>
  <si>
    <t>HADONOU  ALIXTE</t>
  </si>
  <si>
    <t>HOUEDOKOHO SENA</t>
  </si>
  <si>
    <t>HOUINSOU A. CHARLIS</t>
  </si>
  <si>
    <t>KEDOTE ORNELA</t>
  </si>
  <si>
    <t>MIGAN CELESTIN</t>
  </si>
  <si>
    <t>AHOLOUKPE MARCEL</t>
  </si>
  <si>
    <t>GUEDEGBE MELKIOR</t>
  </si>
  <si>
    <t>KAYODE YVE</t>
  </si>
  <si>
    <t>SEFOU MOHAMED</t>
  </si>
  <si>
    <t>VIDE 6</t>
  </si>
  <si>
    <t>LODANTODE SAMUEL</t>
  </si>
  <si>
    <t xml:space="preserve">HOUNGBO </t>
  </si>
  <si>
    <t>MR PIERRE</t>
  </si>
  <si>
    <t>FERNANDO AMINATOU</t>
  </si>
  <si>
    <t xml:space="preserve">ALOMA BEATRICE </t>
  </si>
  <si>
    <t>OZIOKO PAUL</t>
  </si>
  <si>
    <t>SOTOWOU BIENVENU</t>
  </si>
  <si>
    <t>ADONOU TOBIAS</t>
  </si>
  <si>
    <t>HOUENOU MICHEL</t>
  </si>
  <si>
    <t>CHUKWUMA GOERGY</t>
  </si>
  <si>
    <t>HOUNKPATIN JEAN DE DIEU</t>
  </si>
  <si>
    <t>ADZA KOKOU YAOVI</t>
  </si>
  <si>
    <t>AHOUISSOU JUSTICE</t>
  </si>
  <si>
    <t>ALLADAYE ERMER MURPHY</t>
  </si>
  <si>
    <t>DOHOUNGBO THIENO</t>
  </si>
  <si>
    <t>OKE ISHOLA</t>
  </si>
  <si>
    <t>GANSO ANDRE</t>
  </si>
  <si>
    <t>AHINON ALDELAYIDE</t>
  </si>
  <si>
    <t>HONORE</t>
  </si>
  <si>
    <t>BOKO CALROS</t>
  </si>
  <si>
    <t>ADOKINTO ZEPHIRIN</t>
  </si>
  <si>
    <t>SEVERIN</t>
  </si>
  <si>
    <t>DEGNON FABRICE</t>
  </si>
  <si>
    <t>VIDE 7</t>
  </si>
  <si>
    <t>ASSOGBA SAFIATH</t>
  </si>
  <si>
    <t>LEDAWA</t>
  </si>
  <si>
    <t>EGBOTOWOKPO MAX WEL</t>
  </si>
  <si>
    <t>KPEYI FERDINAND</t>
  </si>
  <si>
    <t>SODOMIN GABIN</t>
  </si>
  <si>
    <t>DOUKPO CLESTIN</t>
  </si>
  <si>
    <t>EHOU</t>
  </si>
  <si>
    <t>ACAKPOVI</t>
  </si>
  <si>
    <t>AGBO HERMIONNE</t>
  </si>
  <si>
    <t>ALLADAWENON ELODIE</t>
  </si>
  <si>
    <t>AMOUSSOU FRANCK</t>
  </si>
  <si>
    <t>DEDE ADEGNON</t>
  </si>
  <si>
    <t>DJOSSA JULES</t>
  </si>
  <si>
    <t>ESSE BERNARD</t>
  </si>
  <si>
    <t>ESSOU ALAIN</t>
  </si>
  <si>
    <t>FIRMIN</t>
  </si>
  <si>
    <t>GNACADJA CHRISTIAN</t>
  </si>
  <si>
    <t>HOUNSOU J. MARIE</t>
  </si>
  <si>
    <t>KOKOU JEREMIE</t>
  </si>
  <si>
    <t>KPOMALIAGBA SIMEON</t>
  </si>
  <si>
    <t>KPONDJOU GILDAS</t>
  </si>
  <si>
    <t>MODESTE</t>
  </si>
  <si>
    <t>NADEGE KAKPO</t>
  </si>
  <si>
    <t>RENAULT</t>
  </si>
  <si>
    <t>SAGBO  JUDICAEL</t>
  </si>
  <si>
    <t>SALAMATOU</t>
  </si>
  <si>
    <t>KANKOLI CARLOS</t>
  </si>
  <si>
    <t>AGBOZOGNIGBE BORIS</t>
  </si>
  <si>
    <t>DIOMANDE ISLAMIATH</t>
  </si>
  <si>
    <t>HOUENAGNON PELAGIE</t>
  </si>
  <si>
    <t>JUSTUNE</t>
  </si>
  <si>
    <t>VIDE 8</t>
  </si>
  <si>
    <t>DANGNON MODESTE</t>
  </si>
  <si>
    <t>CHADARE CLAUDE</t>
  </si>
  <si>
    <t xml:space="preserve">AKAKPO NESTOR </t>
  </si>
  <si>
    <t>ACAKPO NESTOR 1</t>
  </si>
  <si>
    <t xml:space="preserve">BIDOUZO CHRISTIAN </t>
  </si>
  <si>
    <t>MESSAN DANIEL</t>
  </si>
  <si>
    <t>MOUZOU APOLLINAIRE</t>
  </si>
  <si>
    <t>HOUNHOUENOU FELICIENNE</t>
  </si>
  <si>
    <t>VIDE9</t>
  </si>
  <si>
    <t>00</t>
  </si>
  <si>
    <t>AGUIAR ARSENE</t>
  </si>
  <si>
    <t xml:space="preserve">BIO ISSIFOU </t>
  </si>
  <si>
    <t xml:space="preserve">INOUSSA </t>
  </si>
  <si>
    <t>LOGO ALEXI</t>
  </si>
  <si>
    <t>DOVI ARISTIDE</t>
  </si>
  <si>
    <t>VIDE 10</t>
  </si>
  <si>
    <t>FANNOU CLEMENT</t>
  </si>
  <si>
    <t>DOGNON GEROME</t>
  </si>
  <si>
    <t>GBAGUIDI FIRMIN</t>
  </si>
  <si>
    <t xml:space="preserve">BOGNON CASIMIR </t>
  </si>
  <si>
    <t>BORAIMA MONIQUE</t>
  </si>
  <si>
    <t>EVI GEORGE</t>
  </si>
  <si>
    <t>NOUKPO KARIM</t>
  </si>
  <si>
    <t>HOUKPE JONAS</t>
  </si>
  <si>
    <t>AHOUANSINKPO JULIEN</t>
  </si>
  <si>
    <t>DAGBOZOUNKOU JACOB</t>
  </si>
  <si>
    <t>STANLEY ONAH</t>
  </si>
  <si>
    <t>TOTTIN CAROLLE</t>
  </si>
  <si>
    <t>SETANGNI GERARD</t>
  </si>
  <si>
    <t>KINGBO LOUIS</t>
  </si>
  <si>
    <t>AGOSSOU EDWIGE</t>
  </si>
  <si>
    <t>AKADIRI</t>
  </si>
  <si>
    <t>AYOWA</t>
  </si>
  <si>
    <t>AZILINON</t>
  </si>
  <si>
    <t xml:space="preserve">AZON </t>
  </si>
  <si>
    <t>BADA EMMANUELLA</t>
  </si>
  <si>
    <t>BOTRE</t>
  </si>
  <si>
    <t>DANHOUBO PEACE</t>
  </si>
  <si>
    <t>DIALLO YERO</t>
  </si>
  <si>
    <t>DJEHOUINI HELMER</t>
  </si>
  <si>
    <t>GANVO LUOIS ANSELME</t>
  </si>
  <si>
    <t>KOMLAN AMAVI</t>
  </si>
  <si>
    <t>KOUTON FABRICE</t>
  </si>
  <si>
    <t>MADJI PHILIPPE</t>
  </si>
  <si>
    <t>AFFOSSOGBE CLARISSE</t>
  </si>
  <si>
    <t>ADOH YOLANDE</t>
  </si>
  <si>
    <t>HOUNKPATIN CLEMENT</t>
  </si>
  <si>
    <t>GOGNOU CASIMIR</t>
  </si>
  <si>
    <t>ATCHA CHRISTINE</t>
  </si>
  <si>
    <t>BLANDINE KOGBETO</t>
  </si>
  <si>
    <t>HOUANNOU ROLAND</t>
  </si>
  <si>
    <t>AFFOVOH MODERANT</t>
  </si>
  <si>
    <t>PASCALINE TCHIBOZO</t>
  </si>
  <si>
    <t>MIKAEL</t>
  </si>
  <si>
    <t>BOUREIMA SADOU</t>
  </si>
  <si>
    <t>ABDOUL MOUSSA</t>
  </si>
  <si>
    <t>BITINBOTO JULIENNE</t>
  </si>
  <si>
    <t>BONOU GILBERTE</t>
  </si>
  <si>
    <t>AHO PHILIPPE</t>
  </si>
  <si>
    <t>AKOUE KPAKPO</t>
  </si>
  <si>
    <t xml:space="preserve">BAR </t>
  </si>
  <si>
    <t>KODO NICOLE</t>
  </si>
  <si>
    <t>DJIBRIL RACHELLE</t>
  </si>
  <si>
    <t>TOGODO CAROLE</t>
  </si>
  <si>
    <t xml:space="preserve">NOUVEAU </t>
  </si>
  <si>
    <t>HODJIGUE AUGUSTIN</t>
  </si>
  <si>
    <t>BRIGITE</t>
  </si>
  <si>
    <t>BEATRICE</t>
  </si>
  <si>
    <t>TAIROU</t>
  </si>
  <si>
    <t>ROGER</t>
  </si>
  <si>
    <t>PROSPER</t>
  </si>
  <si>
    <t>NOUVEAU 1</t>
  </si>
  <si>
    <t xml:space="preserve">CLEMENTINE </t>
  </si>
  <si>
    <t>MARTIN</t>
  </si>
  <si>
    <t xml:space="preserve">MODESTE </t>
  </si>
  <si>
    <t>BIENVENU</t>
  </si>
  <si>
    <t>TAILLEUR ANAGONOU</t>
  </si>
  <si>
    <t>maison 2 kakpo</t>
  </si>
  <si>
    <t>PROFESSUR TCHIDEDJI</t>
  </si>
  <si>
    <t>GILDAS</t>
  </si>
  <si>
    <t>JUDITH</t>
  </si>
  <si>
    <t>ANICET</t>
  </si>
  <si>
    <t>ZEM</t>
  </si>
  <si>
    <t>ESSE MAJOR</t>
  </si>
  <si>
    <t>ESSE</t>
  </si>
  <si>
    <t>VIDE10</t>
  </si>
  <si>
    <t>E??ANUEL</t>
  </si>
  <si>
    <t>ABRAHAMAN</t>
  </si>
  <si>
    <t>GILBERTE</t>
  </si>
  <si>
    <t>100000</t>
  </si>
  <si>
    <t>ZOUBEROU</t>
  </si>
  <si>
    <t>BOSSO KOFFI</t>
  </si>
  <si>
    <t>DESOUZA SYLVANA</t>
  </si>
  <si>
    <t>SERGE</t>
  </si>
  <si>
    <t>MR VALENTIN</t>
  </si>
  <si>
    <t>MR ZEPHIRIN</t>
  </si>
  <si>
    <t>GARBA</t>
  </si>
  <si>
    <t>FLORIDA</t>
  </si>
  <si>
    <t>SOSSOU JULE</t>
  </si>
  <si>
    <t xml:space="preserve">DJIMAN </t>
  </si>
  <si>
    <t>SALAMI</t>
  </si>
  <si>
    <t>DSOUZA HUGUE</t>
  </si>
  <si>
    <t>MARCEL</t>
  </si>
  <si>
    <t>JONAS</t>
  </si>
  <si>
    <t>GUEHOUNDE MIKAEL</t>
  </si>
  <si>
    <t>RENE</t>
  </si>
  <si>
    <t>DOSSOU OLIVIER</t>
  </si>
  <si>
    <t>KPONVI YAO</t>
  </si>
  <si>
    <t>BONAVENURE</t>
  </si>
  <si>
    <t>TOKPON FRANCK</t>
  </si>
  <si>
    <t>HOUNMENOU NARCISSE</t>
  </si>
  <si>
    <t xml:space="preserve">GODONOU FELICIEN </t>
  </si>
  <si>
    <t>MARCEL 2</t>
  </si>
  <si>
    <t>HOUNTONDJI RODRIGUE</t>
  </si>
  <si>
    <t>LOOKMAN RAIKOU</t>
  </si>
  <si>
    <t>HODONOU EMELINE</t>
  </si>
  <si>
    <t>AGATCHIN SANDRA</t>
  </si>
  <si>
    <t>1000000</t>
  </si>
  <si>
    <t>KPALIKA ARMEL</t>
  </si>
  <si>
    <t>MAMA LARISSA</t>
  </si>
  <si>
    <t>MADOKOUN JULIANO</t>
  </si>
  <si>
    <t>ENON ESQUIROLE</t>
  </si>
  <si>
    <t>ADINSI CAMILLE</t>
  </si>
  <si>
    <t>HODONOU ROMARIC</t>
  </si>
  <si>
    <t>DAGOUDO ABEL</t>
  </si>
  <si>
    <t>ANTHONY ALICE</t>
  </si>
  <si>
    <t>ZOCLI MARC</t>
  </si>
  <si>
    <t>AKPADO RUFIN</t>
  </si>
  <si>
    <t>LOKO ETIENNE</t>
  </si>
  <si>
    <t>M29/10/2025A4440085</t>
  </si>
  <si>
    <t>COTONOU</t>
  </si>
  <si>
    <t>FIFADJI</t>
  </si>
  <si>
    <t>R29/10/2025A2741859</t>
  </si>
  <si>
    <t>29/10/2025</t>
  </si>
  <si>
    <t>R29/10/2025A471995</t>
  </si>
  <si>
    <t>R29/10/2025A1166091</t>
  </si>
  <si>
    <t>R29/10/2025A1331465</t>
  </si>
  <si>
    <t>R29/10/2025A4336790</t>
  </si>
  <si>
    <t>R29/10/2025A130970</t>
  </si>
  <si>
    <t>R29/10/2025A1672090</t>
  </si>
  <si>
    <t>R29/10/2025A308270</t>
  </si>
  <si>
    <t>R30/10/2025A1681612</t>
  </si>
  <si>
    <t>30/10/2025</t>
  </si>
  <si>
    <t>R30/10/2025A3900645</t>
  </si>
  <si>
    <t>R30/10/2025A3794528</t>
  </si>
  <si>
    <t>R30/10/2025A573989</t>
  </si>
  <si>
    <t>R30/10/2025A2050777</t>
  </si>
  <si>
    <t>R30/10/2025A2130982</t>
  </si>
  <si>
    <t>R30/10/2025A2507587</t>
  </si>
  <si>
    <t>R30/10/2025A837521</t>
  </si>
  <si>
    <t>R30/10/2025A447339</t>
  </si>
  <si>
    <t>R30/10/2025A3761899</t>
  </si>
  <si>
    <t>R30/10/2025A4167305</t>
  </si>
  <si>
    <t>R30/10/2025A4892392</t>
  </si>
  <si>
    <t>R30/10/2025A3643393</t>
  </si>
  <si>
    <t>R30/10/2025A1011567</t>
  </si>
  <si>
    <t>R30/10/2025A2112134</t>
  </si>
  <si>
    <t>R30/10/2025A608058</t>
  </si>
  <si>
    <t>R30/10/2025A1458400</t>
  </si>
  <si>
    <t>R30/10/2025A4935659</t>
  </si>
  <si>
    <t>R30/10/2025A3261832</t>
  </si>
  <si>
    <t>R30/10/2025A4549683</t>
  </si>
  <si>
    <t>R30/10/2025A1994697</t>
  </si>
  <si>
    <t>R30/10/2025A9097</t>
  </si>
  <si>
    <t>R30/10/2025A682803</t>
  </si>
  <si>
    <t>R30/10/2025A800910</t>
  </si>
  <si>
    <t>R30/10/2025A2584872</t>
  </si>
  <si>
    <t>R30/10/2025A3194136</t>
  </si>
  <si>
    <t>R30/10/2025A3012945</t>
  </si>
  <si>
    <t>R30/10/2025A5222450</t>
  </si>
  <si>
    <t>R30/10/2025A2602642</t>
  </si>
  <si>
    <t>R30/10/2025A3936885</t>
  </si>
  <si>
    <t>R30/10/2025A4024831</t>
  </si>
  <si>
    <t>R30/10/2025A4282120</t>
  </si>
  <si>
    <t>R30/10/2025A3532903</t>
  </si>
  <si>
    <t>R30/10/2025A907670</t>
  </si>
  <si>
    <t>R30/10/2025A2629357</t>
  </si>
  <si>
    <t>R30/10/2025A2590910</t>
  </si>
  <si>
    <t>R30/10/2025A4353658</t>
  </si>
  <si>
    <t>R30/10/2025A387089</t>
  </si>
  <si>
    <t>R30/10/2025A2923424</t>
  </si>
  <si>
    <t>R30/10/2025A4819081</t>
  </si>
  <si>
    <t>R30/10/2025A3489507</t>
  </si>
  <si>
    <t>R30/10/2025A3443389</t>
  </si>
  <si>
    <t>R30/10/2025A5397504</t>
  </si>
  <si>
    <t>R30/10/2025A2336814</t>
  </si>
  <si>
    <t>R30/10/2025A4576548</t>
  </si>
  <si>
    <t>R30/10/2025A675263</t>
  </si>
  <si>
    <t>R30/10/2025A5336232</t>
  </si>
  <si>
    <t>R30/10/2025A4653025</t>
  </si>
  <si>
    <t>R30/10/2025A850637</t>
  </si>
  <si>
    <t>R30/10/2025A1792678</t>
  </si>
  <si>
    <t>R30/10/2025A3627111</t>
  </si>
  <si>
    <t>R30/10/2025A5391400</t>
  </si>
  <si>
    <t>R30/10/2025A3628291</t>
  </si>
  <si>
    <t>R30/10/2025A2948509</t>
  </si>
  <si>
    <t>R30/10/2025A3807448</t>
  </si>
  <si>
    <t>R30/10/2025A1924178</t>
  </si>
  <si>
    <t>R30/10/2025A2231133</t>
  </si>
  <si>
    <t>R30/10/2025A4730669</t>
  </si>
  <si>
    <t>R30/10/2025A841158</t>
  </si>
  <si>
    <t>R30/10/2025A3125200</t>
  </si>
  <si>
    <t>R30/10/2025A1740298</t>
  </si>
  <si>
    <t>R30/10/2025A272820</t>
  </si>
  <si>
    <t>R30/10/2025A3519420</t>
  </si>
  <si>
    <t>R30/10/2025A404535</t>
  </si>
  <si>
    <t>R30/10/2025A1350609</t>
  </si>
  <si>
    <t>R30/10/2025A633522</t>
  </si>
  <si>
    <t>R30/10/2025A3882423</t>
  </si>
  <si>
    <t>R30/10/2025A380925</t>
  </si>
  <si>
    <t>R30/10/2025A3505794</t>
  </si>
  <si>
    <t>R30/10/2025A4132615</t>
  </si>
  <si>
    <t>R30/10/2025A98287</t>
  </si>
  <si>
    <t>R30/10/2025A18182</t>
  </si>
  <si>
    <t>R30/10/2025A739226</t>
  </si>
  <si>
    <t>R30/10/2025A1587609</t>
  </si>
  <si>
    <t>R30/10/2025A3414834</t>
  </si>
  <si>
    <t>R30/10/2025A2103285</t>
  </si>
  <si>
    <t>R30/10/2025A3359716</t>
  </si>
  <si>
    <t>R30/10/2025A4429057</t>
  </si>
  <si>
    <t>R30/10/2025A3303674</t>
  </si>
  <si>
    <t>R30/10/2025A3559337</t>
  </si>
  <si>
    <t>R30/10/2025A4055401</t>
  </si>
  <si>
    <t>R30/10/2025A5437546</t>
  </si>
  <si>
    <t>R30/10/2025A1703654</t>
  </si>
  <si>
    <t>R30/10/2025A2925150</t>
  </si>
  <si>
    <t>R30/10/2025A2433712</t>
  </si>
  <si>
    <t>R30/10/2025A4185741</t>
  </si>
  <si>
    <t>R30/10/2025A2485789</t>
  </si>
  <si>
    <t>R30/10/2025A4681950</t>
  </si>
  <si>
    <t>R30/10/2025A4728587</t>
  </si>
  <si>
    <t>R30/10/2025A875585</t>
  </si>
  <si>
    <t>R30/10/2025A3006586</t>
  </si>
  <si>
    <t>R30/10/2025A2797475</t>
  </si>
  <si>
    <t>R30/10/2025A4514471</t>
  </si>
  <si>
    <t>R30/10/2025A242186</t>
  </si>
  <si>
    <t>R30/10/2025A5062363</t>
  </si>
  <si>
    <t>R30/10/2025A2698838</t>
  </si>
  <si>
    <t>R30/10/2025A1597179</t>
  </si>
  <si>
    <t>R30/10/2025A864073</t>
  </si>
  <si>
    <t>R30/10/2025A3931228</t>
  </si>
  <si>
    <t>R30/10/2025A420770</t>
  </si>
  <si>
    <t>R30/10/2025A3013171</t>
  </si>
  <si>
    <t>R30/10/2025A5040741</t>
  </si>
  <si>
    <t>R30/10/2025A3854560</t>
  </si>
  <si>
    <t>R30/10/2025A645146</t>
  </si>
  <si>
    <t>R30/10/2025A651455</t>
  </si>
  <si>
    <t>R30/10/2025A2869544</t>
  </si>
  <si>
    <t>R30/10/2025A1804693</t>
  </si>
  <si>
    <t>R30/10/2025A4433000</t>
  </si>
  <si>
    <t>R30/10/2025A5455418</t>
  </si>
  <si>
    <t>R30/10/2025A5098419</t>
  </si>
  <si>
    <t>R30/10/2025A1060993</t>
  </si>
  <si>
    <t>R30/10/2025A2932457</t>
  </si>
  <si>
    <t>R30/10/2025A5351881</t>
  </si>
  <si>
    <t>R30/10/2025A757242</t>
  </si>
  <si>
    <t>R30/10/2025A4423727</t>
  </si>
  <si>
    <t>R30/10/2025A4561429</t>
  </si>
  <si>
    <t>R30/10/2025A3340038</t>
  </si>
  <si>
    <t>R30/10/2025A4241522</t>
  </si>
  <si>
    <t>R30/10/2025A2326367</t>
  </si>
  <si>
    <t>R30/10/2025A4685659</t>
  </si>
  <si>
    <t>R30/10/2025A3693337</t>
  </si>
  <si>
    <t>R30/10/2025A3903653</t>
  </si>
  <si>
    <t>R30/10/2025A5123211</t>
  </si>
  <si>
    <t>R30/10/2025A2734272</t>
  </si>
  <si>
    <t>R30/10/2025A2571614</t>
  </si>
  <si>
    <t>R30/10/2025A124778</t>
  </si>
  <si>
    <t>R30/10/2025A3806846</t>
  </si>
  <si>
    <t>R30/10/2025A661995</t>
  </si>
  <si>
    <t>R30/10/2025A3662516</t>
  </si>
  <si>
    <t>R30/10/2025A4820794</t>
  </si>
  <si>
    <t>R30/10/2025A3968321</t>
  </si>
  <si>
    <t>R30/10/2025A1219156</t>
  </si>
  <si>
    <t>R30/10/2025A104676</t>
  </si>
  <si>
    <t>R30/10/2025A3927315</t>
  </si>
  <si>
    <t>R30/10/2025A5151799</t>
  </si>
  <si>
    <t>R30/10/2025A1179960</t>
  </si>
  <si>
    <t>R30/10/2025A964341</t>
  </si>
  <si>
    <t>R30/10/2025A4150321</t>
  </si>
  <si>
    <t>R30/10/2025A1973812</t>
  </si>
  <si>
    <t>R30/10/2025A3907110</t>
  </si>
  <si>
    <t>R30/10/2025A1583735</t>
  </si>
  <si>
    <t>R30/10/2025A411261</t>
  </si>
  <si>
    <t>R30/10/2025A3641048</t>
  </si>
  <si>
    <t>R30/10/2025A2735405</t>
  </si>
  <si>
    <t>R30/10/2025A629976</t>
  </si>
  <si>
    <t>R30/10/2025A681916</t>
  </si>
  <si>
    <t>R30/10/2025A3075095</t>
  </si>
  <si>
    <t>R30/10/2025A3810171</t>
  </si>
  <si>
    <t>R30/10/2025A2119627</t>
  </si>
  <si>
    <t>R30/10/2025A1871728</t>
  </si>
  <si>
    <t>R30/10/2025A3155566</t>
  </si>
  <si>
    <t xml:space="preserve">ACAKPO NESTOR  </t>
  </si>
  <si>
    <t>R30/10/2025A1793144</t>
  </si>
  <si>
    <t>R30/10/2025A4871213</t>
  </si>
  <si>
    <t>R30/10/2025A339785</t>
  </si>
  <si>
    <t>R30/10/2025A1100273</t>
  </si>
  <si>
    <t>R30/10/2025A3108412</t>
  </si>
  <si>
    <t>R30/10/2025A2651930</t>
  </si>
  <si>
    <t>R30/10/2025A1701742</t>
  </si>
  <si>
    <t>R30/10/2025A4338676</t>
  </si>
  <si>
    <t>R30/10/2025A1711300</t>
  </si>
  <si>
    <t>R30/10/2025A1862053</t>
  </si>
  <si>
    <t>R30/10/2025A5305601</t>
  </si>
  <si>
    <t>R30/10/2025A3186231</t>
  </si>
  <si>
    <t>R30/10/2025A5146213</t>
  </si>
  <si>
    <t>R30/10/2025A658311</t>
  </si>
  <si>
    <t>R30/10/2025A1687528</t>
  </si>
  <si>
    <t>R30/10/2025A3758738</t>
  </si>
  <si>
    <t>R30/10/2025A3412359</t>
  </si>
  <si>
    <t>R30/10/2025A76386</t>
  </si>
  <si>
    <t>R30/10/2025A1909766</t>
  </si>
  <si>
    <t>R30/10/2025A3948823</t>
  </si>
  <si>
    <t>R30/10/2025A999389</t>
  </si>
  <si>
    <t>R30/10/2025A2848326</t>
  </si>
  <si>
    <t>R30/10/2025A955343</t>
  </si>
  <si>
    <t>R30/10/2025A1951537</t>
  </si>
  <si>
    <t>R30/10/2025A1114212</t>
  </si>
  <si>
    <t>R30/10/2025A4873926</t>
  </si>
  <si>
    <t>R30/10/2025A1800528</t>
  </si>
  <si>
    <t>R30/10/2025A3226961</t>
  </si>
  <si>
    <t>R30/10/2025A2984017</t>
  </si>
  <si>
    <t>R30/10/2025A526874</t>
  </si>
  <si>
    <t>R30/10/2025A3519052</t>
  </si>
  <si>
    <t>R30/10/2025A894717</t>
  </si>
  <si>
    <t>R30/10/2025A1531659</t>
  </si>
  <si>
    <t>R30/10/2025A2776052</t>
  </si>
  <si>
    <t>R30/10/2025A4854267</t>
  </si>
  <si>
    <t>R30/10/2025A1898510</t>
  </si>
  <si>
    <t>R31/10/2025A1554847</t>
  </si>
  <si>
    <t>31/10/2025</t>
  </si>
  <si>
    <t>R31/10/2025A763490</t>
  </si>
  <si>
    <t>R31/10/2025A1106523</t>
  </si>
  <si>
    <t>R31/10/2025A392148</t>
  </si>
  <si>
    <t>R31/10/2025A2191480</t>
  </si>
  <si>
    <t>R31/10/2025A629645</t>
  </si>
  <si>
    <t>R31/10/2025A4511302</t>
  </si>
  <si>
    <t>R31/10/2025A3668462</t>
  </si>
  <si>
    <t>R31/10/2025A211936</t>
  </si>
  <si>
    <t>R31/10/2025A148517</t>
  </si>
  <si>
    <t>R31/10/2025A4334617</t>
  </si>
  <si>
    <t>R31/10/2025A2341310</t>
  </si>
  <si>
    <t>R31/10/2025A4925725</t>
  </si>
  <si>
    <t>R31/10/2025A980218</t>
  </si>
  <si>
    <t>R31/10/2025A2264983</t>
  </si>
  <si>
    <t>R31/10/2025A2659088</t>
  </si>
  <si>
    <t>R31/10/2025A909198</t>
  </si>
  <si>
    <t>R31/10/2025A3641356</t>
  </si>
  <si>
    <t>R31/10/2025A1038938</t>
  </si>
  <si>
    <t>R31/10/2025A4438863</t>
  </si>
  <si>
    <t>R31/10/2025A1202589</t>
  </si>
  <si>
    <t>R31/10/2025A3288595</t>
  </si>
  <si>
    <t>R31/10/2025A1069235</t>
  </si>
  <si>
    <t>R31/10/2025A1814192</t>
  </si>
  <si>
    <t>R31/10/2025A320604</t>
  </si>
  <si>
    <t>R31/10/2025A2738687</t>
  </si>
  <si>
    <t>R31/10/2025A959808</t>
  </si>
  <si>
    <t>R31/10/2025A4805018</t>
  </si>
  <si>
    <t>R31/10/2025A3215517</t>
  </si>
  <si>
    <t>R31/10/2025A5258774</t>
  </si>
  <si>
    <t>R31/10/2025A230140</t>
  </si>
  <si>
    <t>R31/10/2025A4194154</t>
  </si>
  <si>
    <t>R31/10/2025A364489</t>
  </si>
  <si>
    <t>R31/10/2025A3816702</t>
  </si>
  <si>
    <t>R31/10/2025A5130300</t>
  </si>
  <si>
    <t>R31/10/2025A2663030</t>
  </si>
  <si>
    <t>R31/10/2025A976855</t>
  </si>
  <si>
    <t>R31/10/2025A80228</t>
  </si>
  <si>
    <t xml:space="preserve">ESSE  </t>
  </si>
  <si>
    <t>R31/10/2025A1422894</t>
  </si>
  <si>
    <t>Emmanuel</t>
  </si>
  <si>
    <t>R31/10/2025A3911777</t>
  </si>
  <si>
    <t>R31/10/2025A1962731</t>
  </si>
  <si>
    <t>R31/10/2025A4524851</t>
  </si>
  <si>
    <t>R31/10/2025A1779488</t>
  </si>
  <si>
    <t>R31/10/2025A3424275</t>
  </si>
  <si>
    <t>R31/10/2025A2285623</t>
  </si>
  <si>
    <t>R31/10/2025A4151660</t>
  </si>
  <si>
    <t>R31/10/2025A4859149</t>
  </si>
  <si>
    <t>R31/10/2025A4998721</t>
  </si>
  <si>
    <t>R31/10/2025A624151</t>
  </si>
  <si>
    <t>R31/10/2025A3349687</t>
  </si>
  <si>
    <t>R31/10/2025A2384577</t>
  </si>
  <si>
    <t>R31/10/2025A5086803</t>
  </si>
  <si>
    <t>R31/10/2025A4051150</t>
  </si>
  <si>
    <t>R31/10/2025A3785826</t>
  </si>
  <si>
    <t xml:space="preserve">AGUEHOUNDE MICHAEL </t>
  </si>
  <si>
    <t>R31/10/2025A3506642</t>
  </si>
  <si>
    <t>R31/10/2025A2117202</t>
  </si>
  <si>
    <t>R31/10/2025A2024580</t>
  </si>
  <si>
    <t>R31/10/2025A3280985</t>
  </si>
  <si>
    <t>R31/10/2025A223706</t>
  </si>
  <si>
    <t>R31/10/2025A1002649</t>
  </si>
  <si>
    <t>R31/10/2025A996054</t>
  </si>
  <si>
    <t>R31/10/2025A3283309</t>
  </si>
  <si>
    <t>R31/10/2025A2276786</t>
  </si>
  <si>
    <t>R31/10/2025A1762930</t>
  </si>
  <si>
    <t>R31/10/2025A3242998</t>
  </si>
  <si>
    <t>R31/10/2025A3972505</t>
  </si>
  <si>
    <t>R31/10/2025A574056</t>
  </si>
  <si>
    <t>R31/10/2025A580309</t>
  </si>
  <si>
    <t>R31/10/2025A4446448</t>
  </si>
  <si>
    <t>R31/10/2025A211451</t>
  </si>
  <si>
    <t xml:space="preserve">SENON ESQUIROLE </t>
  </si>
  <si>
    <t>R31/10/2025A1172797</t>
  </si>
  <si>
    <t>R31/10/2025A4809887</t>
  </si>
  <si>
    <t>R31/10/2025A2015469</t>
  </si>
  <si>
    <t>CARMEL</t>
  </si>
  <si>
    <t>R31/10/2025A1857412</t>
  </si>
  <si>
    <t>DOSSOUVI PASCAL</t>
  </si>
  <si>
    <t>R31/10/2025A1630711</t>
  </si>
  <si>
    <t>R31/10/2025A2620397</t>
  </si>
  <si>
    <t>R31/10/2025A5405546</t>
  </si>
  <si>
    <t>R31/10/2025A1491289</t>
  </si>
  <si>
    <t>R31/10/2025A4662700</t>
  </si>
  <si>
    <t>COMMISSION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</si>
</sst>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\ &quot;CFA&quot;"/>
  </numFmts>
  <fonts count="9" x14ac:knownFonts="1">
    <font>
      <sz val="11"/>
      <color theme="1"/>
      <name val="Calibri"/>
      <family val="2"/>
      <scheme val="minor"/>
    </font>
    <font>
      <sz val="14"/>
      <color theme="1"/>
      <name val="Arial Narrow"/>
      <family val="2"/>
    </font>
    <font>
      <sz val="11"/>
      <color theme="1"/>
      <name val="Arial Black"/>
      <family val="2"/>
    </font>
    <font>
      <sz val="11"/>
      <color theme="0"/>
      <name val="Arial Black"/>
      <family val="2"/>
    </font>
    <font>
      <sz val="22"/>
      <color theme="0"/>
      <name val="Arial Black"/>
      <family val="2"/>
    </font>
    <font>
      <sz val="14"/>
      <color theme="1"/>
      <name val="Arial Narrow"/>
    </font>
    <font>
      <b/>
      <sz val="20"/>
      <color theme="1"/>
      <name val="Calibri"/>
      <family val="2"/>
      <scheme val="minor"/>
    </font>
    <font>
      <b/>
      <sz val="20"/>
      <color theme="1"/>
      <name val="Tw Cen MT"/>
      <family val="2"/>
    </font>
    <font>
      <b/>
      <sz val="48"/>
      <color theme="1"/>
      <name val="Tw Cen MT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0606DE"/>
        <bgColor indexed="64"/>
      </patternFill>
    </fill>
    <fill>
      <patternFill patternType="solid">
        <fgColor rgb="FFF48F2A"/>
        <bgColor indexed="64"/>
      </patternFill>
    </fill>
  </fills>
  <borders count="12">
    <border>
      <left/>
      <right/>
      <top/>
      <bottom/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/>
      <top/>
      <bottom/>
      <diagonal/>
    </border>
    <border>
      <left/>
      <right style="medium">
        <color theme="5"/>
      </right>
      <top/>
      <bottom/>
      <diagonal/>
    </border>
    <border>
      <left style="medium">
        <color theme="5"/>
      </left>
      <right/>
      <top/>
      <bottom style="medium">
        <color theme="5"/>
      </bottom>
      <diagonal/>
    </border>
    <border>
      <left/>
      <right/>
      <top/>
      <bottom style="medium">
        <color theme="5"/>
      </bottom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49" fontId="1" fillId="0" borderId="0" xfId="0" applyNumberFormat="1" applyFont="1"/>
    <xf numFmtId="20" fontId="0" fillId="0" borderId="0" xfId="0" applyNumberFormat="1"/>
    <xf numFmtId="0" fontId="0" fillId="2" borderId="0" xfId="0" applyFill="1"/>
    <xf numFmtId="0" fontId="0" fillId="4" borderId="0" xfId="0" applyFill="1"/>
    <xf numFmtId="0" fontId="5" fillId="0" borderId="0" xfId="0" applyFont="1"/>
    <xf numFmtId="49" fontId="5" fillId="0" borderId="0" xfId="0" applyNumberFormat="1" applyFont="1"/>
    <xf numFmtId="0" fontId="3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164" fontId="6" fillId="2" borderId="1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3" xfId="0" applyNumberFormat="1" applyFont="1" applyFill="1" applyBorder="1" applyAlignment="1">
      <alignment horizontal="center" vertical="center"/>
    </xf>
    <xf numFmtId="164" fontId="7" fillId="2" borderId="4" xfId="0" applyNumberFormat="1" applyFont="1" applyFill="1" applyBorder="1" applyAlignment="1">
      <alignment horizontal="center" vertical="center"/>
    </xf>
    <xf numFmtId="164" fontId="7" fillId="2" borderId="0" xfId="0" applyNumberFormat="1" applyFont="1" applyFill="1" applyBorder="1" applyAlignment="1">
      <alignment horizontal="center" vertical="center"/>
    </xf>
    <xf numFmtId="164" fontId="7" fillId="2" borderId="5" xfId="0" applyNumberFormat="1" applyFont="1" applyFill="1" applyBorder="1" applyAlignment="1">
      <alignment horizontal="center" vertical="center"/>
    </xf>
    <xf numFmtId="164" fontId="7" fillId="2" borderId="6" xfId="0" applyNumberFormat="1" applyFont="1" applyFill="1" applyBorder="1" applyAlignment="1">
      <alignment horizontal="center" vertical="center"/>
    </xf>
    <xf numFmtId="164" fontId="7" fillId="2" borderId="7" xfId="0" applyNumberFormat="1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4" fontId="7" fillId="2" borderId="1" xfId="0" applyNumberFormat="1" applyFont="1" applyFill="1" applyBorder="1" applyAlignment="1">
      <alignment horizontal="center" vertical="center"/>
    </xf>
    <xf numFmtId="0" fontId="0" fillId="0" borderId="0" xfId="0" applyFont="1"/>
  </cellXfs>
  <cellStyles count="1">
    <cellStyle name="Normal" xfId="0" builtinId="0"/>
  </cellStyles>
  <dxfs count="14">
    <dxf>
      <numFmt numFmtId="165" formatCode="h:mm"/>
    </dxf>
    <dxf>
      <numFmt numFmtId="165" formatCode="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 Narrow"/>
        <scheme val="none"/>
      </font>
    </dxf>
  </dxfs>
  <tableStyles count="0" defaultTableStyle="TableStyleMedium2" defaultPivotStyle="PivotStyleLight16"/>
  <colors>
    <mruColors>
      <color rgb="FFF48F2A"/>
      <color rgb="FFE3B031"/>
      <color rgb="FF0606DE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</xdr:row>
          <xdr:rowOff>66675</xdr:rowOff>
        </xdr:from>
        <xdr:to>
          <xdr:col>2</xdr:col>
          <xdr:colOff>352425</xdr:colOff>
          <xdr:row>6</xdr:row>
          <xdr:rowOff>9525</xdr:rowOff>
        </xdr:to>
        <xdr:sp macro="" textlink="">
          <xdr:nvSpPr>
            <xdr:cNvPr id="2050" name="CmdProprietair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6</xdr:row>
          <xdr:rowOff>104775</xdr:rowOff>
        </xdr:from>
        <xdr:to>
          <xdr:col>2</xdr:col>
          <xdr:colOff>342900</xdr:colOff>
          <xdr:row>9</xdr:row>
          <xdr:rowOff>76200</xdr:rowOff>
        </xdr:to>
        <xdr:sp macro="" textlink="">
          <xdr:nvSpPr>
            <xdr:cNvPr id="2057" name="CmdMais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171450</xdr:rowOff>
        </xdr:from>
        <xdr:to>
          <xdr:col>2</xdr:col>
          <xdr:colOff>333375</xdr:colOff>
          <xdr:row>12</xdr:row>
          <xdr:rowOff>57150</xdr:rowOff>
        </xdr:to>
        <xdr:sp macro="" textlink="">
          <xdr:nvSpPr>
            <xdr:cNvPr id="2058" name="CmdLocataire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</xdr:row>
          <xdr:rowOff>152400</xdr:rowOff>
        </xdr:from>
        <xdr:to>
          <xdr:col>2</xdr:col>
          <xdr:colOff>342900</xdr:colOff>
          <xdr:row>15</xdr:row>
          <xdr:rowOff>123825</xdr:rowOff>
        </xdr:to>
        <xdr:sp macro="" textlink="">
          <xdr:nvSpPr>
            <xdr:cNvPr id="2059" name="CmdSouscriptio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0</xdr:rowOff>
        </xdr:from>
        <xdr:to>
          <xdr:col>2</xdr:col>
          <xdr:colOff>342900</xdr:colOff>
          <xdr:row>18</xdr:row>
          <xdr:rowOff>85725</xdr:rowOff>
        </xdr:to>
        <xdr:sp macro="" textlink="">
          <xdr:nvSpPr>
            <xdr:cNvPr id="2060" name="CmdReglement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18</xdr:row>
          <xdr:rowOff>171450</xdr:rowOff>
        </xdr:from>
        <xdr:to>
          <xdr:col>2</xdr:col>
          <xdr:colOff>342900</xdr:colOff>
          <xdr:row>21</xdr:row>
          <xdr:rowOff>133350</xdr:rowOff>
        </xdr:to>
        <xdr:sp macro="" textlink="">
          <xdr:nvSpPr>
            <xdr:cNvPr id="2062" name="CommandButton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22</xdr:col>
      <xdr:colOff>704850</xdr:colOff>
      <xdr:row>0</xdr:row>
      <xdr:rowOff>171450</xdr:rowOff>
    </xdr:from>
    <xdr:to>
      <xdr:col>24</xdr:col>
      <xdr:colOff>38100</xdr:colOff>
      <xdr:row>1</xdr:row>
      <xdr:rowOff>180975</xdr:rowOff>
    </xdr:to>
    <xdr:sp macro="[0]!plein_Ecran" textlink="">
      <xdr:nvSpPr>
        <xdr:cNvPr id="2" name="Rectangle à coins arrondis 1"/>
        <xdr:cNvSpPr/>
      </xdr:nvSpPr>
      <xdr:spPr>
        <a:xfrm>
          <a:off x="11420475" y="171450"/>
          <a:ext cx="857250" cy="209550"/>
        </a:xfrm>
        <a:prstGeom prst="roundRect">
          <a:avLst/>
        </a:prstGeom>
        <a:effectLst>
          <a:glow rad="63500">
            <a:schemeClr val="accent2">
              <a:satMod val="175000"/>
              <a:alpha val="40000"/>
            </a:schemeClr>
          </a:glow>
          <a:innerShdw blurRad="63500" dist="50800" dir="81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Plein écran</a:t>
          </a:r>
        </a:p>
      </xdr:txBody>
    </xdr:sp>
    <xdr:clientData/>
  </xdr:twoCellAnchor>
  <xdr:twoCellAnchor>
    <xdr:from>
      <xdr:col>22</xdr:col>
      <xdr:colOff>714375</xdr:colOff>
      <xdr:row>2</xdr:row>
      <xdr:rowOff>76200</xdr:rowOff>
    </xdr:from>
    <xdr:to>
      <xdr:col>24</xdr:col>
      <xdr:colOff>47625</xdr:colOff>
      <xdr:row>3</xdr:row>
      <xdr:rowOff>95250</xdr:rowOff>
    </xdr:to>
    <xdr:sp macro="[0]!Ecran" textlink="">
      <xdr:nvSpPr>
        <xdr:cNvPr id="9" name="Rectangle à coins arrondis 8"/>
        <xdr:cNvSpPr/>
      </xdr:nvSpPr>
      <xdr:spPr>
        <a:xfrm>
          <a:off x="11430000" y="466725"/>
          <a:ext cx="857250" cy="209550"/>
        </a:xfrm>
        <a:prstGeom prst="roundRect">
          <a:avLst/>
        </a:prstGeom>
        <a:effectLst>
          <a:glow rad="63500">
            <a:schemeClr val="accent2">
              <a:satMod val="175000"/>
              <a:alpha val="40000"/>
            </a:schemeClr>
          </a:glow>
          <a:innerShdw blurRad="63500" dist="50800" dir="81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Ecran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266700</xdr:colOff>
          <xdr:row>1</xdr:row>
          <xdr:rowOff>123825</xdr:rowOff>
        </xdr:from>
        <xdr:to>
          <xdr:col>14</xdr:col>
          <xdr:colOff>476250</xdr:colOff>
          <xdr:row>3</xdr:row>
          <xdr:rowOff>57150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_proprietaire" displayName="Table_proprietaire" ref="A1:D35" totalsRowShown="0" headerRowDxfId="13" dataDxfId="12">
  <autoFilter ref="A1:D35"/>
  <tableColumns count="4">
    <tableColumn id="1" name="Nom_Prenom" dataDxfId="11"/>
    <tableColumn id="2" name="Contact" dataDxfId="10"/>
    <tableColumn id="3" name="E-mail" dataDxfId="9"/>
    <tableColumn id="4" name="Adresse" dataDxfId="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id="4" name="Table_maison" displayName="Table_maison" ref="A1:K2" totalsRowShown="0">
  <autoFilter ref="A1:K2"/>
  <tableColumns count="11">
    <tableColumn id="1" name="IDM"/>
    <tableColumn id="2" name="NP_Proprietaire"/>
    <tableColumn id="3" name="Type de construction"/>
    <tableColumn id="4" name="Nombre de pièce"/>
    <tableColumn id="5" name="Cout du loyer"/>
    <tableColumn id="6" name="Ville "/>
    <tableColumn id="7" name="Commune"/>
    <tableColumn id="8" name="Quartier"/>
    <tableColumn id="9" name="Observation"/>
    <tableColumn id="10" name="Part commission"/>
    <tableColumn id="11" name="Statut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2" name="Table_locataire" displayName="Table_locataire" ref="A1:D297" totalsRowShown="0" headerRowDxfId="7" dataDxfId="6">
  <autoFilter ref="A1:D297"/>
  <tableColumns count="4">
    <tableColumn id="1" name="Nom_Prenom" dataDxfId="5"/>
    <tableColumn id="2" name="Contact" dataDxfId="4"/>
    <tableColumn id="3" name="E-mail" dataDxfId="3"/>
    <tableColumn id="4" name="Adresse" dataDxfId="2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id="5" name="Table_souscription" displayName="Table_souscription" ref="A1:N2" insertRow="1" totalsRowShown="0">
  <autoFilter ref="A1:N2"/>
  <tableColumns count="14">
    <tableColumn id="1" name="IDS"/>
    <tableColumn id="2" name="IDM"/>
    <tableColumn id="3" name="NP_Locataire"/>
    <tableColumn id="4" name="Date de souscription"/>
    <tableColumn id="5" name="Montant loyer"/>
    <tableColumn id="6" name="Nombre de mois caution"/>
    <tableColumn id="7" name="Montant caution"/>
    <tableColumn id="8" name="Nombre de mois avance"/>
    <tableColumn id="9" name="Montant avance"/>
    <tableColumn id="10" name="Autres frais"/>
    <tableColumn id="11" name="Montant autre frais"/>
    <tableColumn id="12" name="Date d'entrée"/>
    <tableColumn id="13" name="Date debut paiement"/>
    <tableColumn id="14" name="Statut de la souscription"/>
  </tableColumns>
  <tableStyleInfo name="TableStyleMedium19" showFirstColumn="0" showLastColumn="0" showRowStripes="1" showColumnStripes="0"/>
</table>
</file>

<file path=xl/tables/table5.xml><?xml version="1.0" encoding="utf-8"?>
<table xmlns="http://schemas.openxmlformats.org/spreadsheetml/2006/main" id="6" name="Table_reglement" displayName="Table_reglement" ref="A1:J275" totalsRowShown="0">
  <autoFilter ref="A1:J275">
    <filterColumn colId="1">
      <customFilters>
        <customFilter val="**"/>
      </customFilters>
    </filterColumn>
  </autoFilter>
  <tableColumns count="10">
    <tableColumn id="1" name="IDR"/>
    <tableColumn id="2" name="IDM"/>
    <tableColumn id="3" name="NP_Locataire"/>
    <tableColumn id="11" name="Date"/>
    <tableColumn id="4" name="Montant a payer"/>
    <tableColumn id="5" name="Montant payer"/>
    <tableColumn id="6" name="Reste a payer"/>
    <tableColumn id="7" name="Mois concerné"/>
    <tableColumn id="8" name="Année concernée"/>
    <tableColumn id="9" name="Statut"/>
  </tableColumns>
  <tableStyleInfo name="TableStyleMedium18" showFirstColumn="0" showLastColumn="0" showRowStripes="1" showColumnStripes="0"/>
</table>
</file>

<file path=xl/tables/table6.xml><?xml version="1.0" encoding="utf-8"?>
<table xmlns="http://schemas.openxmlformats.org/spreadsheetml/2006/main" id="7" name="Table_statut_maison" displayName="Table_statut_maison" ref="A1:A3" totalsRowShown="0">
  <autoFilter ref="A1:A3"/>
  <tableColumns count="1">
    <tableColumn id="1" name="Statut_maison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id="8" name="Table_typeconstruction" displayName="Table_typeconstruction" ref="C1:C3" totalsRowShown="0">
  <autoFilter ref="C1:C3"/>
  <tableColumns count="1">
    <tableColumn id="1" name="Type construction"/>
  </tableColumns>
  <tableStyleInfo name="TableStyleMedium17" showFirstColumn="0" showLastColumn="0" showRowStripes="1" showColumnStripes="0"/>
</table>
</file>

<file path=xl/tables/table8.xml><?xml version="1.0" encoding="utf-8"?>
<table xmlns="http://schemas.openxmlformats.org/spreadsheetml/2006/main" id="3" name="Table_statut_souscription" displayName="Table_statut_souscription" ref="E1:E3" totalsRowShown="0">
  <autoFilter ref="E1:E3"/>
  <tableColumns count="1">
    <tableColumn id="1" name="Statut_souscription"/>
  </tableColumns>
  <tableStyleInfo name="TableStyleMedium18" showFirstColumn="0" showLastColumn="0" showRowStripes="1" showColumnStripes="0"/>
</table>
</file>

<file path=xl/tables/table9.xml><?xml version="1.0" encoding="utf-8"?>
<table xmlns="http://schemas.openxmlformats.org/spreadsheetml/2006/main" id="9" name="Table_statut_paiement" displayName="Table_statut_paiement" ref="G1:G3" totalsRowShown="0">
  <autoFilter ref="G1:G3"/>
  <tableColumns count="1">
    <tableColumn id="1" name="Statut_paiement"/>
  </tableColumns>
  <tableStyleInfo name="TableStyleMedium18" showFirstColumn="0" showLastColumn="0" showRowStripes="1" showColumnStripes="0"/>
</table>
</file>

<file path=xl/tables/table10.xml><?xml version="1.0" encoding="utf-8"?>
<table xmlns="http://schemas.openxmlformats.org/spreadsheetml/2006/main" id="10" name="TableauMois" displayName="TableauMois" ref="I1:I14" totalsRowShown="0" headerRowDxfId="1">
  <autoFilter ref="I1:I14"/>
  <tableColumns count="1">
    <tableColumn id="1" name="Moi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Acceuil">
    <tabColor rgb="FF9933FF"/>
  </sheetPr>
  <dimension ref="D1:T22"/>
  <sheetViews>
    <sheetView showGridLines="0" topLeftCell="A2" workbookViewId="0">
      <selection activeCell="J7" sqref="J7:L10"/>
    </sheetView>
  </sheetViews>
  <sheetFormatPr baseColWidth="10" defaultRowHeight="15" x14ac:dyDescent="0.25"/>
  <cols>
    <col min="1" max="1" width="11.42578125" style="4"/>
    <col min="2" max="2" width="10.85546875" style="4" customWidth="1"/>
    <col min="3" max="3" width="6.28515625" style="4" customWidth="1"/>
    <col min="4" max="4" width="1.85546875" style="5" customWidth="1"/>
    <col min="5" max="5" width="1.28515625" style="4" customWidth="1"/>
    <col min="6" max="8" width="9.85546875" style="4" customWidth="1"/>
    <col min="9" max="9" width="1.28515625" style="4" customWidth="1"/>
    <col min="10" max="12" width="9.85546875" style="4" customWidth="1"/>
    <col min="13" max="13" width="1.28515625" style="4" customWidth="1"/>
    <col min="14" max="16" width="9.85546875" style="4" customWidth="1"/>
    <col min="17" max="17" width="1.28515625" style="4" customWidth="1"/>
    <col min="18" max="19" width="11.42578125" style="4"/>
    <col min="20" max="20" width="11.140625" style="4" customWidth="1"/>
    <col min="21" max="21" width="1.28515625" style="4" customWidth="1"/>
    <col min="22" max="22" width="1.140625" style="4" customWidth="1"/>
    <col min="23" max="16384" width="11.42578125" style="4"/>
  </cols>
  <sheetData>
    <row r="1" spans="6:20" ht="15.75" thickBot="1" x14ac:dyDescent="0.3"/>
    <row r="2" spans="6:20" ht="15" customHeight="1" x14ac:dyDescent="0.25">
      <c r="F2" s="20" t="s">
        <v>62</v>
      </c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2"/>
    </row>
    <row r="3" spans="6:20" ht="15" customHeight="1" x14ac:dyDescent="0.25"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5"/>
    </row>
    <row r="4" spans="6:20" ht="15.75" customHeight="1" thickBot="1" x14ac:dyDescent="0.3">
      <c r="F4" s="26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8"/>
    </row>
    <row r="5" spans="6:20" ht="15.75" thickBot="1" x14ac:dyDescent="0.3"/>
    <row r="6" spans="6:20" ht="19.5" thickBot="1" x14ac:dyDescent="0.45">
      <c r="F6" s="29" t="s">
        <v>59</v>
      </c>
      <c r="G6" s="30"/>
      <c r="H6" s="31"/>
      <c r="J6" s="8" t="s">
        <v>58</v>
      </c>
      <c r="K6" s="9"/>
      <c r="L6" s="10"/>
      <c r="N6" s="8" t="s">
        <v>60</v>
      </c>
      <c r="O6" s="9"/>
      <c r="P6" s="10"/>
      <c r="R6" s="8" t="s">
        <v>61</v>
      </c>
      <c r="S6" s="9"/>
      <c r="T6" s="10"/>
    </row>
    <row r="7" spans="6:20" x14ac:dyDescent="0.25">
      <c r="F7" s="32">
        <f>COUNTA(Proprietaire!A:A)-1</f>
        <v>34</v>
      </c>
      <c r="G7" s="33"/>
      <c r="H7" s="34"/>
      <c r="J7" s="32">
        <f>COUNTA(Locataire!A:A)-1</f>
        <v>296</v>
      </c>
      <c r="K7" s="33"/>
      <c r="L7" s="34"/>
      <c r="N7" s="32">
        <f>COUNTA(Maison!A:A)-1</f>
        <v>1</v>
      </c>
      <c r="O7" s="33"/>
      <c r="P7" s="34"/>
      <c r="R7" s="32">
        <f>COUNTA(Souscription!A:A)-1</f>
        <v>0</v>
      </c>
      <c r="S7" s="33"/>
      <c r="T7" s="34"/>
    </row>
    <row r="8" spans="6:20" x14ac:dyDescent="0.25">
      <c r="F8" s="35"/>
      <c r="G8" s="36"/>
      <c r="H8" s="37"/>
      <c r="J8" s="35"/>
      <c r="K8" s="36"/>
      <c r="L8" s="37"/>
      <c r="N8" s="35"/>
      <c r="O8" s="36"/>
      <c r="P8" s="37"/>
      <c r="R8" s="35"/>
      <c r="S8" s="36"/>
      <c r="T8" s="37"/>
    </row>
    <row r="9" spans="6:20" x14ac:dyDescent="0.25">
      <c r="F9" s="35"/>
      <c r="G9" s="36"/>
      <c r="H9" s="37"/>
      <c r="J9" s="35"/>
      <c r="K9" s="36"/>
      <c r="L9" s="37"/>
      <c r="N9" s="35"/>
      <c r="O9" s="36"/>
      <c r="P9" s="37"/>
      <c r="R9" s="35"/>
      <c r="S9" s="36"/>
      <c r="T9" s="37"/>
    </row>
    <row r="10" spans="6:20" ht="15.75" thickBot="1" x14ac:dyDescent="0.3">
      <c r="F10" s="38"/>
      <c r="G10" s="39"/>
      <c r="H10" s="40"/>
      <c r="J10" s="38"/>
      <c r="K10" s="39"/>
      <c r="L10" s="40"/>
      <c r="N10" s="38"/>
      <c r="O10" s="39"/>
      <c r="P10" s="40"/>
      <c r="R10" s="38"/>
      <c r="S10" s="39"/>
      <c r="T10" s="40"/>
    </row>
    <row r="11" spans="6:20" ht="15.75" thickBot="1" x14ac:dyDescent="0.3"/>
    <row r="12" spans="6:20" ht="19.5" thickBot="1" x14ac:dyDescent="0.45">
      <c r="F12" s="8" t="s">
        <v>63</v>
      </c>
      <c r="G12" s="9"/>
      <c r="H12" s="10"/>
      <c r="J12" s="8" t="s">
        <v>64</v>
      </c>
      <c r="K12" s="9"/>
      <c r="L12" s="10"/>
      <c r="N12" s="8" t="s">
        <v>65</v>
      </c>
      <c r="O12" s="9"/>
      <c r="P12" s="10"/>
      <c r="R12" s="8" t="s">
        <v>66</v>
      </c>
      <c r="S12" s="9"/>
      <c r="T12" s="10"/>
    </row>
    <row r="13" spans="6:20" ht="15" customHeight="1" x14ac:dyDescent="0.25">
      <c r="F13" s="41">
        <f>SUM(Souscription!G:G)</f>
        <v>0</v>
      </c>
      <c r="G13" s="12"/>
      <c r="H13" s="13"/>
      <c r="J13" s="41">
        <f>SUM(Souscription!I:I)</f>
        <v>0</v>
      </c>
      <c r="K13" s="12"/>
      <c r="L13" s="13"/>
      <c r="N13" s="41">
        <f>SUM(Reglement!E:E)</f>
        <v>5688000</v>
      </c>
      <c r="O13" s="12"/>
      <c r="P13" s="13"/>
      <c r="R13" s="11">
        <f>SUM(Reglement!F:F)</f>
        <v>0</v>
      </c>
      <c r="S13" s="12"/>
      <c r="T13" s="13"/>
    </row>
    <row r="14" spans="6:20" ht="15" customHeight="1" x14ac:dyDescent="0.25">
      <c r="F14" s="14"/>
      <c r="G14" s="15"/>
      <c r="H14" s="16"/>
      <c r="J14" s="14"/>
      <c r="K14" s="15"/>
      <c r="L14" s="16"/>
      <c r="N14" s="14"/>
      <c r="O14" s="15"/>
      <c r="P14" s="16"/>
      <c r="R14" s="14"/>
      <c r="S14" s="15"/>
      <c r="T14" s="16"/>
    </row>
    <row r="15" spans="6:20" ht="15" customHeight="1" x14ac:dyDescent="0.25">
      <c r="F15" s="14"/>
      <c r="G15" s="15"/>
      <c r="H15" s="16"/>
      <c r="J15" s="14"/>
      <c r="K15" s="15"/>
      <c r="L15" s="16"/>
      <c r="N15" s="14"/>
      <c r="O15" s="15"/>
      <c r="P15" s="16"/>
      <c r="R15" s="14"/>
      <c r="S15" s="15"/>
      <c r="T15" s="16"/>
    </row>
    <row r="16" spans="6:20" ht="15.75" customHeight="1" thickBot="1" x14ac:dyDescent="0.3">
      <c r="F16" s="17"/>
      <c r="G16" s="18"/>
      <c r="H16" s="19"/>
      <c r="J16" s="17"/>
      <c r="K16" s="18"/>
      <c r="L16" s="19"/>
      <c r="N16" s="17"/>
      <c r="O16" s="18"/>
      <c r="P16" s="19"/>
      <c r="R16" s="17"/>
      <c r="S16" s="18"/>
      <c r="T16" s="19"/>
    </row>
    <row r="17" spans="6:12" ht="15.75" thickBot="1" x14ac:dyDescent="0.3"/>
    <row r="18" spans="6:12" ht="19.5" thickBot="1" x14ac:dyDescent="0.45">
      <c r="F18" s="8" t="s">
        <v>67</v>
      </c>
      <c r="G18" s="9"/>
      <c r="H18" s="10"/>
      <c r="J18" s="8" t="s">
        <v>698</v>
      </c>
      <c r="K18" s="9"/>
      <c r="L18" s="10"/>
    </row>
    <row r="19" spans="6:12" x14ac:dyDescent="0.25">
      <c r="F19" s="11">
        <f>SUM(Reglement!E:E)-SUM(Reglement!F:F)</f>
        <v>5688000</v>
      </c>
      <c r="G19" s="12"/>
      <c r="H19" s="13"/>
      <c r="J19" s="11">
        <f>SUM(Reglement!F:F)/10</f>
        <v>0</v>
      </c>
      <c r="K19" s="12"/>
      <c r="L19" s="13"/>
    </row>
    <row r="20" spans="6:12" x14ac:dyDescent="0.25">
      <c r="F20" s="14"/>
      <c r="G20" s="15"/>
      <c r="H20" s="16"/>
      <c r="J20" s="14"/>
      <c r="K20" s="15"/>
      <c r="L20" s="16"/>
    </row>
    <row r="21" spans="6:12" x14ac:dyDescent="0.25">
      <c r="F21" s="14"/>
      <c r="G21" s="15"/>
      <c r="H21" s="16"/>
      <c r="J21" s="14"/>
      <c r="K21" s="15"/>
      <c r="L21" s="16"/>
    </row>
    <row r="22" spans="6:12" ht="15.75" thickBot="1" x14ac:dyDescent="0.3">
      <c r="F22" s="17"/>
      <c r="G22" s="18"/>
      <c r="H22" s="19"/>
      <c r="J22" s="17"/>
      <c r="K22" s="18"/>
      <c r="L22" s="19"/>
    </row>
  </sheetData>
  <sheetProtection sheet="1" objects="1" scenarios="1" selectLockedCells="1" selectUnlockedCells="1"/>
  <mergeCells count="21">
    <mergeCell ref="F13:H16"/>
    <mergeCell ref="J12:L12"/>
    <mergeCell ref="J13:L16"/>
    <mergeCell ref="N12:P12"/>
    <mergeCell ref="N13:P16"/>
    <mergeCell ref="F18:H18"/>
    <mergeCell ref="F19:H22"/>
    <mergeCell ref="J18:L18"/>
    <mergeCell ref="J19:L22"/>
    <mergeCell ref="F2:T4"/>
    <mergeCell ref="F6:H6"/>
    <mergeCell ref="F7:H10"/>
    <mergeCell ref="J6:L6"/>
    <mergeCell ref="J7:L10"/>
    <mergeCell ref="N6:P6"/>
    <mergeCell ref="N7:P10"/>
    <mergeCell ref="R6:T6"/>
    <mergeCell ref="R7:T10"/>
    <mergeCell ref="R12:T12"/>
    <mergeCell ref="R13:T16"/>
    <mergeCell ref="F12:H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mdProprietaire">
          <controlPr defaultSize="0" autoLine="0" r:id="rId5">
            <anchor moveWithCells="1">
              <from>
                <xdr:col>0</xdr:col>
                <xdr:colOff>38100</xdr:colOff>
                <xdr:row>3</xdr:row>
                <xdr:rowOff>66675</xdr:rowOff>
              </from>
              <to>
                <xdr:col>2</xdr:col>
                <xdr:colOff>352425</xdr:colOff>
                <xdr:row>6</xdr:row>
                <xdr:rowOff>9525</xdr:rowOff>
              </to>
            </anchor>
          </controlPr>
        </control>
      </mc:Choice>
      <mc:Fallback>
        <control shapeId="2050" r:id="rId4" name="CmdProprietaire"/>
      </mc:Fallback>
    </mc:AlternateContent>
    <mc:AlternateContent xmlns:mc="http://schemas.openxmlformats.org/markup-compatibility/2006">
      <mc:Choice Requires="x14">
        <control shapeId="2057" r:id="rId6" name="CmdMaison">
          <controlPr defaultSize="0" autoLine="0" r:id="rId7">
            <anchor moveWithCells="1">
              <from>
                <xdr:col>0</xdr:col>
                <xdr:colOff>47625</xdr:colOff>
                <xdr:row>6</xdr:row>
                <xdr:rowOff>104775</xdr:rowOff>
              </from>
              <to>
                <xdr:col>2</xdr:col>
                <xdr:colOff>342900</xdr:colOff>
                <xdr:row>9</xdr:row>
                <xdr:rowOff>76200</xdr:rowOff>
              </to>
            </anchor>
          </controlPr>
        </control>
      </mc:Choice>
      <mc:Fallback>
        <control shapeId="2057" r:id="rId6" name="CmdMaison"/>
      </mc:Fallback>
    </mc:AlternateContent>
    <mc:AlternateContent xmlns:mc="http://schemas.openxmlformats.org/markup-compatibility/2006">
      <mc:Choice Requires="x14">
        <control shapeId="2058" r:id="rId8" name="CmdLocataire">
          <controlPr defaultSize="0" autoLine="0" r:id="rId9">
            <anchor moveWithCells="1">
              <from>
                <xdr:col>0</xdr:col>
                <xdr:colOff>38100</xdr:colOff>
                <xdr:row>9</xdr:row>
                <xdr:rowOff>171450</xdr:rowOff>
              </from>
              <to>
                <xdr:col>2</xdr:col>
                <xdr:colOff>333375</xdr:colOff>
                <xdr:row>12</xdr:row>
                <xdr:rowOff>57150</xdr:rowOff>
              </to>
            </anchor>
          </controlPr>
        </control>
      </mc:Choice>
      <mc:Fallback>
        <control shapeId="2058" r:id="rId8" name="CmdLocataire"/>
      </mc:Fallback>
    </mc:AlternateContent>
    <mc:AlternateContent xmlns:mc="http://schemas.openxmlformats.org/markup-compatibility/2006">
      <mc:Choice Requires="x14">
        <control shapeId="2059" r:id="rId10" name="CmdSouscription">
          <controlPr defaultSize="0" autoLine="0" r:id="rId11">
            <anchor moveWithCells="1">
              <from>
                <xdr:col>0</xdr:col>
                <xdr:colOff>19050</xdr:colOff>
                <xdr:row>12</xdr:row>
                <xdr:rowOff>152400</xdr:rowOff>
              </from>
              <to>
                <xdr:col>2</xdr:col>
                <xdr:colOff>342900</xdr:colOff>
                <xdr:row>15</xdr:row>
                <xdr:rowOff>123825</xdr:rowOff>
              </to>
            </anchor>
          </controlPr>
        </control>
      </mc:Choice>
      <mc:Fallback>
        <control shapeId="2059" r:id="rId10" name="CmdSouscription"/>
      </mc:Fallback>
    </mc:AlternateContent>
    <mc:AlternateContent xmlns:mc="http://schemas.openxmlformats.org/markup-compatibility/2006">
      <mc:Choice Requires="x14">
        <control shapeId="2060" r:id="rId12" name="CmdReglement">
          <controlPr defaultSize="0" autoLine="0" r:id="rId13">
            <anchor moveWithCells="1">
              <from>
                <xdr:col>0</xdr:col>
                <xdr:colOff>19050</xdr:colOff>
                <xdr:row>16</xdr:row>
                <xdr:rowOff>0</xdr:rowOff>
              </from>
              <to>
                <xdr:col>2</xdr:col>
                <xdr:colOff>342900</xdr:colOff>
                <xdr:row>18</xdr:row>
                <xdr:rowOff>85725</xdr:rowOff>
              </to>
            </anchor>
          </controlPr>
        </control>
      </mc:Choice>
      <mc:Fallback>
        <control shapeId="2060" r:id="rId12" name="CmdReglement"/>
      </mc:Fallback>
    </mc:AlternateContent>
    <mc:AlternateContent xmlns:mc="http://schemas.openxmlformats.org/markup-compatibility/2006">
      <mc:Choice Requires="x14">
        <control shapeId="2062" r:id="rId14" name="CommandButton1">
          <controlPr defaultSize="0" autoLine="0" r:id="rId15">
            <anchor moveWithCells="1">
              <from>
                <xdr:col>0</xdr:col>
                <xdr:colOff>19050</xdr:colOff>
                <xdr:row>18</xdr:row>
                <xdr:rowOff>171450</xdr:rowOff>
              </from>
              <to>
                <xdr:col>2</xdr:col>
                <xdr:colOff>342900</xdr:colOff>
                <xdr:row>21</xdr:row>
                <xdr:rowOff>133350</xdr:rowOff>
              </to>
            </anchor>
          </controlPr>
        </control>
      </mc:Choice>
      <mc:Fallback>
        <control shapeId="2062" r:id="rId1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Proprietaire">
    <tabColor theme="4" tint="-0.249977111117893"/>
  </sheetPr>
  <dimension ref="A1:D35"/>
  <sheetViews>
    <sheetView workbookViewId="0">
      <selection activeCell="B15" sqref="B15"/>
    </sheetView>
  </sheetViews>
  <sheetFormatPr baseColWidth="10" defaultRowHeight="15" x14ac:dyDescent="0.25"/>
  <cols>
    <col min="1" max="1" width="30.5703125" bestFit="1" customWidth="1"/>
    <col min="2" max="2" width="20.7109375" bestFit="1" customWidth="1"/>
    <col min="3" max="3" width="32.140625" bestFit="1" customWidth="1"/>
    <col min="4" max="4" width="12.5703125" bestFit="1" customWidth="1"/>
  </cols>
  <sheetData>
    <row r="1" spans="1:4" ht="18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8" x14ac:dyDescent="0.25">
      <c r="A2" s="1" t="s">
        <v>69</v>
      </c>
      <c r="B2" s="2" t="s">
        <v>70</v>
      </c>
      <c r="C2" s="2" t="s">
        <v>70</v>
      </c>
      <c r="D2" s="1">
        <v>0</v>
      </c>
    </row>
    <row r="3" spans="1:4" ht="18" x14ac:dyDescent="0.25">
      <c r="A3" s="6" t="s">
        <v>71</v>
      </c>
      <c r="B3" s="7" t="s">
        <v>72</v>
      </c>
      <c r="C3" s="7" t="s">
        <v>73</v>
      </c>
      <c r="D3" s="6">
        <v>0</v>
      </c>
    </row>
    <row r="4" spans="1:4" ht="18" x14ac:dyDescent="0.25">
      <c r="A4" s="6" t="s">
        <v>74</v>
      </c>
      <c r="B4" s="7" t="s">
        <v>75</v>
      </c>
      <c r="C4" s="7" t="s">
        <v>75</v>
      </c>
      <c r="D4" s="6">
        <v>0</v>
      </c>
    </row>
    <row r="5" spans="1:4" ht="18" x14ac:dyDescent="0.25">
      <c r="A5" s="6" t="s">
        <v>76</v>
      </c>
      <c r="B5" s="7" t="s">
        <v>75</v>
      </c>
      <c r="C5" s="7" t="s">
        <v>70</v>
      </c>
      <c r="D5" s="6">
        <v>0</v>
      </c>
    </row>
    <row r="6" spans="1:4" ht="18" x14ac:dyDescent="0.25">
      <c r="A6" s="6" t="s">
        <v>77</v>
      </c>
      <c r="B6" s="7" t="s">
        <v>78</v>
      </c>
      <c r="C6" s="7" t="s">
        <v>79</v>
      </c>
      <c r="D6" s="6">
        <v>0</v>
      </c>
    </row>
    <row r="7" spans="1:4" ht="18" x14ac:dyDescent="0.25">
      <c r="A7" s="6" t="s">
        <v>80</v>
      </c>
      <c r="B7" s="7" t="s">
        <v>72</v>
      </c>
      <c r="C7" s="7" t="s">
        <v>81</v>
      </c>
      <c r="D7" s="6">
        <v>0</v>
      </c>
    </row>
    <row r="8" spans="1:4" ht="18" x14ac:dyDescent="0.25">
      <c r="A8" s="6" t="s">
        <v>82</v>
      </c>
      <c r="B8" s="7" t="s">
        <v>79</v>
      </c>
      <c r="C8" s="7" t="s">
        <v>81</v>
      </c>
      <c r="D8" s="6">
        <v>0</v>
      </c>
    </row>
    <row r="9" spans="1:4" ht="18" x14ac:dyDescent="0.25">
      <c r="A9" s="6" t="s">
        <v>83</v>
      </c>
      <c r="B9" s="7" t="s">
        <v>75</v>
      </c>
      <c r="C9" s="7" t="s">
        <v>81</v>
      </c>
      <c r="D9" s="6">
        <v>0</v>
      </c>
    </row>
    <row r="10" spans="1:4" ht="18" x14ac:dyDescent="0.25">
      <c r="A10" s="6" t="s">
        <v>84</v>
      </c>
      <c r="B10" s="7" t="s">
        <v>72</v>
      </c>
      <c r="C10" s="7" t="s">
        <v>81</v>
      </c>
      <c r="D10" s="6">
        <v>0</v>
      </c>
    </row>
    <row r="11" spans="1:4" ht="18" x14ac:dyDescent="0.25">
      <c r="A11" s="6" t="s">
        <v>85</v>
      </c>
      <c r="B11" s="7" t="s">
        <v>79</v>
      </c>
      <c r="C11" s="7" t="s">
        <v>81</v>
      </c>
      <c r="D11" s="6">
        <v>0</v>
      </c>
    </row>
    <row r="12" spans="1:4" ht="18" x14ac:dyDescent="0.25">
      <c r="A12" s="6" t="s">
        <v>86</v>
      </c>
      <c r="B12" s="7" t="s">
        <v>81</v>
      </c>
      <c r="C12" s="7" t="s">
        <v>81</v>
      </c>
      <c r="D12" s="6">
        <v>0</v>
      </c>
    </row>
    <row r="13" spans="1:4" ht="18" x14ac:dyDescent="0.25">
      <c r="A13" s="6" t="s">
        <v>87</v>
      </c>
      <c r="B13" s="7" t="s">
        <v>81</v>
      </c>
      <c r="C13" s="7" t="s">
        <v>72</v>
      </c>
      <c r="D13" s="6">
        <v>0</v>
      </c>
    </row>
    <row r="14" spans="1:4" ht="18" x14ac:dyDescent="0.25">
      <c r="A14" s="6" t="s">
        <v>88</v>
      </c>
      <c r="B14" s="7" t="s">
        <v>72</v>
      </c>
      <c r="C14" s="7"/>
      <c r="D14" s="6"/>
    </row>
    <row r="15" spans="1:4" ht="18" x14ac:dyDescent="0.25">
      <c r="A15" s="6" t="s">
        <v>89</v>
      </c>
      <c r="B15" s="7" t="s">
        <v>79</v>
      </c>
      <c r="C15" s="7"/>
      <c r="D15" s="6"/>
    </row>
    <row r="16" spans="1:4" ht="18" x14ac:dyDescent="0.25">
      <c r="A16" s="6" t="s">
        <v>90</v>
      </c>
      <c r="B16" s="7" t="s">
        <v>81</v>
      </c>
      <c r="C16" s="7"/>
      <c r="D16" s="6"/>
    </row>
    <row r="17" spans="1:4" ht="18" x14ac:dyDescent="0.25">
      <c r="A17" s="6" t="s">
        <v>91</v>
      </c>
      <c r="B17" s="7" t="s">
        <v>81</v>
      </c>
      <c r="C17" s="7"/>
      <c r="D17" s="6"/>
    </row>
    <row r="18" spans="1:4" ht="18" x14ac:dyDescent="0.25">
      <c r="A18" s="6" t="s">
        <v>92</v>
      </c>
      <c r="B18" s="7" t="s">
        <v>72</v>
      </c>
      <c r="C18" s="7"/>
      <c r="D18" s="6"/>
    </row>
    <row r="19" spans="1:4" ht="18" x14ac:dyDescent="0.25">
      <c r="A19" s="6" t="s">
        <v>93</v>
      </c>
      <c r="B19" s="7" t="s">
        <v>72</v>
      </c>
      <c r="C19" s="7"/>
      <c r="D19" s="6"/>
    </row>
    <row r="20" spans="1:4" ht="18" x14ac:dyDescent="0.25">
      <c r="A20" s="6" t="s">
        <v>94</v>
      </c>
      <c r="B20" s="7" t="s">
        <v>81</v>
      </c>
      <c r="C20" s="7"/>
      <c r="D20" s="6"/>
    </row>
    <row r="21" spans="1:4" ht="18" x14ac:dyDescent="0.25">
      <c r="A21" s="6" t="s">
        <v>95</v>
      </c>
      <c r="B21" s="7" t="s">
        <v>96</v>
      </c>
      <c r="C21" s="7" t="s">
        <v>81</v>
      </c>
      <c r="D21" s="6"/>
    </row>
    <row r="22" spans="1:4" ht="18" x14ac:dyDescent="0.25">
      <c r="A22" s="6" t="s">
        <v>97</v>
      </c>
      <c r="B22" s="7" t="s">
        <v>96</v>
      </c>
      <c r="C22" s="7"/>
      <c r="D22" s="6"/>
    </row>
    <row r="23" spans="1:4" ht="18" x14ac:dyDescent="0.25">
      <c r="A23" s="6" t="s">
        <v>98</v>
      </c>
      <c r="B23" s="7" t="s">
        <v>96</v>
      </c>
      <c r="C23" s="7"/>
      <c r="D23" s="6"/>
    </row>
    <row r="24" spans="1:4" ht="18" x14ac:dyDescent="0.25">
      <c r="A24" s="6" t="s">
        <v>99</v>
      </c>
      <c r="B24" s="7" t="s">
        <v>81</v>
      </c>
      <c r="C24" s="7"/>
      <c r="D24" s="6"/>
    </row>
    <row r="25" spans="1:4" ht="18" x14ac:dyDescent="0.25">
      <c r="A25" s="6" t="s">
        <v>100</v>
      </c>
      <c r="B25" s="7" t="s">
        <v>79</v>
      </c>
      <c r="C25" s="7"/>
      <c r="D25" s="6"/>
    </row>
    <row r="26" spans="1:4" ht="18" x14ac:dyDescent="0.25">
      <c r="A26" s="6" t="s">
        <v>101</v>
      </c>
      <c r="B26" s="7" t="s">
        <v>72</v>
      </c>
      <c r="C26" s="7"/>
      <c r="D26" s="6"/>
    </row>
    <row r="27" spans="1:4" x14ac:dyDescent="0.25">
      <c r="A27" t="s">
        <v>102</v>
      </c>
      <c r="B27">
        <v>0</v>
      </c>
    </row>
    <row r="28" spans="1:4" ht="18" x14ac:dyDescent="0.25">
      <c r="A28" s="6" t="s">
        <v>103</v>
      </c>
      <c r="B28" s="7" t="s">
        <v>81</v>
      </c>
      <c r="C28" s="7"/>
      <c r="D28" s="6"/>
    </row>
    <row r="29" spans="1:4" ht="18" x14ac:dyDescent="0.25">
      <c r="A29" s="6" t="s">
        <v>104</v>
      </c>
      <c r="B29" s="7" t="s">
        <v>96</v>
      </c>
      <c r="C29" s="7"/>
      <c r="D29" s="6"/>
    </row>
    <row r="30" spans="1:4" ht="18" x14ac:dyDescent="0.25">
      <c r="A30" s="6" t="s">
        <v>105</v>
      </c>
      <c r="B30" s="7" t="s">
        <v>96</v>
      </c>
      <c r="C30" s="7"/>
      <c r="D30" s="6"/>
    </row>
    <row r="31" spans="1:4" ht="18" x14ac:dyDescent="0.25">
      <c r="A31" s="6" t="s">
        <v>106</v>
      </c>
      <c r="B31" s="7" t="s">
        <v>79</v>
      </c>
      <c r="C31" s="7"/>
      <c r="D31" s="6"/>
    </row>
    <row r="32" spans="1:4" ht="18" x14ac:dyDescent="0.25">
      <c r="A32" s="6" t="s">
        <v>107</v>
      </c>
      <c r="B32" s="7" t="s">
        <v>79</v>
      </c>
      <c r="C32" s="7"/>
      <c r="D32" s="6"/>
    </row>
    <row r="33" spans="1:4" ht="18" x14ac:dyDescent="0.25">
      <c r="A33" s="6" t="s">
        <v>108</v>
      </c>
      <c r="B33" s="7" t="s">
        <v>79</v>
      </c>
      <c r="C33" s="7"/>
      <c r="D33" s="6"/>
    </row>
    <row r="34" spans="1:4" ht="18" x14ac:dyDescent="0.25">
      <c r="A34" s="6" t="s">
        <v>109</v>
      </c>
      <c r="B34" s="7" t="s">
        <v>81</v>
      </c>
      <c r="C34" s="7"/>
      <c r="D34" s="6"/>
    </row>
    <row r="35" spans="1:4" ht="18" x14ac:dyDescent="0.25">
      <c r="A35" s="6" t="s">
        <v>110</v>
      </c>
      <c r="B35" s="7" t="s">
        <v>96</v>
      </c>
      <c r="C35" s="7"/>
      <c r="D35" s="6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Maison">
    <tabColor rgb="FFFF0000"/>
  </sheetPr>
  <dimension ref="A1:K2"/>
  <sheetViews>
    <sheetView workbookViewId="0">
      <selection activeCell="C2" sqref="C2"/>
    </sheetView>
  </sheetViews>
  <sheetFormatPr baseColWidth="10" defaultRowHeight="15" x14ac:dyDescent="0.25"/>
  <cols>
    <col min="1" max="1" width="9.28515625" bestFit="1" customWidth="1"/>
    <col min="2" max="2" width="18.5703125" bestFit="1" customWidth="1"/>
    <col min="3" max="3" width="21.85546875" bestFit="1" customWidth="1"/>
    <col min="4" max="4" width="17.5703125" bestFit="1" customWidth="1"/>
    <col min="5" max="5" width="14.5703125" bestFit="1" customWidth="1"/>
    <col min="6" max="6" width="6.7109375" customWidth="1"/>
    <col min="9" max="9" width="14.140625" bestFit="1" customWidth="1"/>
    <col min="10" max="10" width="17.140625" bestFit="1" customWidth="1"/>
  </cols>
  <sheetData>
    <row r="1" spans="1:11" x14ac:dyDescent="0.25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14</v>
      </c>
      <c r="K1" t="s">
        <v>13</v>
      </c>
    </row>
    <row r="2" spans="1:11" x14ac:dyDescent="0.25">
      <c r="A2" t="s">
        <v>411</v>
      </c>
      <c r="B2" t="s">
        <v>69</v>
      </c>
      <c r="C2" t="s">
        <v>39</v>
      </c>
      <c r="D2">
        <v>7</v>
      </c>
      <c r="E2">
        <v>231000</v>
      </c>
      <c r="F2" t="s">
        <v>412</v>
      </c>
      <c r="G2" t="s">
        <v>412</v>
      </c>
      <c r="H2" t="s">
        <v>413</v>
      </c>
      <c r="J2">
        <v>10</v>
      </c>
      <c r="K2" t="s">
        <v>36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ocataire">
    <tabColor theme="9" tint="-0.249977111117893"/>
  </sheetPr>
  <dimension ref="A1:D297"/>
  <sheetViews>
    <sheetView topLeftCell="A45" workbookViewId="0">
      <selection activeCell="A66" sqref="A66:XFD66"/>
    </sheetView>
  </sheetViews>
  <sheetFormatPr baseColWidth="10" defaultRowHeight="15" x14ac:dyDescent="0.25"/>
  <cols>
    <col min="1" max="1" width="24.140625" bestFit="1" customWidth="1"/>
    <col min="2" max="2" width="18.140625" bestFit="1" customWidth="1"/>
    <col min="3" max="3" width="31.85546875" bestFit="1" customWidth="1"/>
    <col min="4" max="4" width="12.5703125" bestFit="1" customWidth="1"/>
  </cols>
  <sheetData>
    <row r="1" spans="1:4" ht="18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18" x14ac:dyDescent="0.25">
      <c r="A2" s="1" t="s">
        <v>112</v>
      </c>
      <c r="B2" s="2" t="s">
        <v>79</v>
      </c>
      <c r="C2" s="1"/>
      <c r="D2" s="1"/>
    </row>
    <row r="3" spans="1:4" ht="18" x14ac:dyDescent="0.25">
      <c r="A3" s="6" t="s">
        <v>113</v>
      </c>
      <c r="B3" s="7" t="s">
        <v>96</v>
      </c>
      <c r="C3" s="6"/>
      <c r="D3" s="6"/>
    </row>
    <row r="4" spans="1:4" x14ac:dyDescent="0.25">
      <c r="A4" t="s">
        <v>114</v>
      </c>
      <c r="B4">
        <v>0</v>
      </c>
    </row>
    <row r="5" spans="1:4" ht="18" x14ac:dyDescent="0.25">
      <c r="A5" s="6" t="s">
        <v>115</v>
      </c>
      <c r="B5" s="7" t="s">
        <v>79</v>
      </c>
      <c r="C5" s="6"/>
      <c r="D5" s="6"/>
    </row>
    <row r="6" spans="1:4" ht="18" x14ac:dyDescent="0.25">
      <c r="A6" s="6" t="s">
        <v>116</v>
      </c>
      <c r="B6" s="7" t="s">
        <v>117</v>
      </c>
      <c r="C6" s="6"/>
      <c r="D6" s="6"/>
    </row>
    <row r="7" spans="1:4" ht="18" x14ac:dyDescent="0.25">
      <c r="A7" s="6" t="s">
        <v>118</v>
      </c>
      <c r="B7" s="7" t="s">
        <v>81</v>
      </c>
      <c r="C7" s="6"/>
      <c r="D7" s="6"/>
    </row>
    <row r="8" spans="1:4" ht="18" x14ac:dyDescent="0.25">
      <c r="A8" s="6" t="s">
        <v>119</v>
      </c>
      <c r="B8" s="7" t="s">
        <v>81</v>
      </c>
      <c r="C8" s="6"/>
      <c r="D8" s="6"/>
    </row>
    <row r="9" spans="1:4" ht="18" x14ac:dyDescent="0.25">
      <c r="A9" s="6" t="s">
        <v>120</v>
      </c>
      <c r="B9" s="7" t="s">
        <v>81</v>
      </c>
      <c r="C9" s="6"/>
      <c r="D9" s="6"/>
    </row>
    <row r="10" spans="1:4" ht="18" x14ac:dyDescent="0.25">
      <c r="A10" s="6" t="s">
        <v>121</v>
      </c>
      <c r="B10" s="7" t="s">
        <v>79</v>
      </c>
      <c r="C10" s="6"/>
      <c r="D10" s="6"/>
    </row>
    <row r="11" spans="1:4" x14ac:dyDescent="0.25">
      <c r="A11" t="s">
        <v>122</v>
      </c>
      <c r="B11">
        <v>0</v>
      </c>
    </row>
    <row r="12" spans="1:4" ht="18" x14ac:dyDescent="0.25">
      <c r="A12" s="6" t="s">
        <v>123</v>
      </c>
      <c r="B12" s="7" t="s">
        <v>79</v>
      </c>
      <c r="C12" s="6"/>
      <c r="D12" s="6"/>
    </row>
    <row r="13" spans="1:4" ht="18" x14ac:dyDescent="0.25">
      <c r="A13" s="6" t="s">
        <v>124</v>
      </c>
      <c r="B13" s="7" t="s">
        <v>81</v>
      </c>
      <c r="C13" s="6"/>
      <c r="D13" s="6"/>
    </row>
    <row r="14" spans="1:4" x14ac:dyDescent="0.25">
      <c r="A14" t="s">
        <v>125</v>
      </c>
      <c r="B14">
        <v>0</v>
      </c>
    </row>
    <row r="15" spans="1:4" x14ac:dyDescent="0.25">
      <c r="A15" t="s">
        <v>126</v>
      </c>
      <c r="B15">
        <v>0</v>
      </c>
    </row>
    <row r="16" spans="1:4" ht="18" x14ac:dyDescent="0.25">
      <c r="A16" s="6" t="s">
        <v>127</v>
      </c>
      <c r="B16" s="7" t="s">
        <v>79</v>
      </c>
      <c r="C16" s="6"/>
      <c r="D16" s="6"/>
    </row>
    <row r="17" spans="1:4" ht="18" x14ac:dyDescent="0.25">
      <c r="A17" s="6" t="s">
        <v>128</v>
      </c>
      <c r="B17" s="7" t="s">
        <v>79</v>
      </c>
      <c r="C17" s="6"/>
      <c r="D17" s="6"/>
    </row>
    <row r="18" spans="1:4" ht="18" x14ac:dyDescent="0.25">
      <c r="A18" s="6" t="s">
        <v>129</v>
      </c>
      <c r="B18" s="7" t="s">
        <v>96</v>
      </c>
      <c r="C18" s="6"/>
      <c r="D18" s="6"/>
    </row>
    <row r="19" spans="1:4" ht="18" x14ac:dyDescent="0.25">
      <c r="A19" s="6" t="s">
        <v>130</v>
      </c>
      <c r="B19" s="7">
        <v>0</v>
      </c>
      <c r="C19" s="6"/>
      <c r="D19" s="6"/>
    </row>
    <row r="20" spans="1:4" ht="18" x14ac:dyDescent="0.25">
      <c r="A20" s="6" t="s">
        <v>131</v>
      </c>
      <c r="B20" s="7">
        <v>0</v>
      </c>
      <c r="C20" s="6"/>
      <c r="D20" s="6"/>
    </row>
    <row r="21" spans="1:4" ht="18" x14ac:dyDescent="0.25">
      <c r="A21" s="6" t="s">
        <v>132</v>
      </c>
      <c r="B21" s="7">
        <v>0</v>
      </c>
      <c r="C21" s="6"/>
      <c r="D21" s="6"/>
    </row>
    <row r="22" spans="1:4" ht="18" x14ac:dyDescent="0.25">
      <c r="A22" s="6" t="s">
        <v>133</v>
      </c>
      <c r="B22" s="7">
        <v>0</v>
      </c>
      <c r="C22" s="6"/>
      <c r="D22" s="6"/>
    </row>
    <row r="23" spans="1:4" ht="18" x14ac:dyDescent="0.25">
      <c r="A23" s="6" t="s">
        <v>134</v>
      </c>
      <c r="B23" s="7">
        <v>0</v>
      </c>
      <c r="C23" s="6"/>
      <c r="D23" s="6"/>
    </row>
    <row r="24" spans="1:4" ht="18" x14ac:dyDescent="0.25">
      <c r="A24" s="6" t="s">
        <v>135</v>
      </c>
      <c r="B24" s="7">
        <v>0</v>
      </c>
      <c r="C24" s="6"/>
      <c r="D24" s="6"/>
    </row>
    <row r="25" spans="1:4" ht="18" x14ac:dyDescent="0.25">
      <c r="A25" s="6" t="s">
        <v>136</v>
      </c>
      <c r="B25" s="7">
        <v>0</v>
      </c>
      <c r="C25" s="6"/>
      <c r="D25" s="6"/>
    </row>
    <row r="26" spans="1:4" ht="18" x14ac:dyDescent="0.25">
      <c r="A26" s="6" t="s">
        <v>137</v>
      </c>
      <c r="B26" s="7">
        <v>0</v>
      </c>
      <c r="C26" s="6"/>
      <c r="D26" s="6"/>
    </row>
    <row r="27" spans="1:4" ht="18" x14ac:dyDescent="0.25">
      <c r="A27" s="6" t="s">
        <v>138</v>
      </c>
      <c r="B27" s="7">
        <v>0</v>
      </c>
      <c r="C27" s="6"/>
      <c r="D27" s="6"/>
    </row>
    <row r="28" spans="1:4" ht="18" x14ac:dyDescent="0.25">
      <c r="A28" s="6" t="s">
        <v>139</v>
      </c>
      <c r="B28" s="7">
        <v>0</v>
      </c>
      <c r="C28" s="6"/>
      <c r="D28" s="6"/>
    </row>
    <row r="29" spans="1:4" ht="18" x14ac:dyDescent="0.25">
      <c r="A29" s="6" t="s">
        <v>140</v>
      </c>
      <c r="B29" s="7">
        <v>0</v>
      </c>
      <c r="C29" s="6"/>
      <c r="D29" s="6"/>
    </row>
    <row r="30" spans="1:4" ht="18" x14ac:dyDescent="0.25">
      <c r="A30" s="6" t="s">
        <v>141</v>
      </c>
      <c r="B30" s="7">
        <v>0</v>
      </c>
      <c r="C30" s="6"/>
      <c r="D30" s="6"/>
    </row>
    <row r="31" spans="1:4" ht="18" x14ac:dyDescent="0.25">
      <c r="A31" s="6" t="s">
        <v>142</v>
      </c>
      <c r="B31" s="7">
        <v>0</v>
      </c>
      <c r="C31" s="6"/>
      <c r="D31" s="6"/>
    </row>
    <row r="32" spans="1:4" ht="18" x14ac:dyDescent="0.25">
      <c r="A32" s="6" t="s">
        <v>143</v>
      </c>
      <c r="B32" s="7">
        <v>0</v>
      </c>
      <c r="C32" s="6"/>
      <c r="D32" s="6"/>
    </row>
    <row r="33" spans="1:4" ht="18" x14ac:dyDescent="0.25">
      <c r="A33" s="6" t="s">
        <v>144</v>
      </c>
      <c r="B33" s="7">
        <v>0</v>
      </c>
      <c r="C33" s="6"/>
      <c r="D33" s="6"/>
    </row>
    <row r="34" spans="1:4" ht="18" x14ac:dyDescent="0.25">
      <c r="A34" s="6" t="s">
        <v>145</v>
      </c>
      <c r="B34" s="7">
        <v>0</v>
      </c>
      <c r="C34" s="6"/>
      <c r="D34" s="6"/>
    </row>
    <row r="35" spans="1:4" ht="18" x14ac:dyDescent="0.25">
      <c r="A35" s="6" t="s">
        <v>146</v>
      </c>
      <c r="B35" s="7">
        <v>0</v>
      </c>
      <c r="C35" s="6"/>
      <c r="D35" s="6"/>
    </row>
    <row r="36" spans="1:4" ht="18" x14ac:dyDescent="0.25">
      <c r="A36" s="6" t="s">
        <v>147</v>
      </c>
      <c r="B36" s="7">
        <v>0</v>
      </c>
      <c r="C36" s="6"/>
      <c r="D36" s="6"/>
    </row>
    <row r="37" spans="1:4" ht="18" x14ac:dyDescent="0.25">
      <c r="A37" s="6" t="s">
        <v>148</v>
      </c>
      <c r="B37" s="7">
        <v>0</v>
      </c>
      <c r="C37" s="6"/>
      <c r="D37" s="6"/>
    </row>
    <row r="38" spans="1:4" ht="18" x14ac:dyDescent="0.25">
      <c r="A38" s="6" t="s">
        <v>80</v>
      </c>
      <c r="B38" s="7">
        <v>0</v>
      </c>
      <c r="C38" s="6"/>
      <c r="D38" s="6"/>
    </row>
    <row r="39" spans="1:4" ht="18" x14ac:dyDescent="0.25">
      <c r="A39" s="6" t="s">
        <v>149</v>
      </c>
      <c r="B39" s="7">
        <v>0</v>
      </c>
      <c r="C39" s="6"/>
      <c r="D39" s="6"/>
    </row>
    <row r="40" spans="1:4" ht="18" x14ac:dyDescent="0.25">
      <c r="A40" s="6" t="s">
        <v>150</v>
      </c>
      <c r="B40" s="7">
        <v>0</v>
      </c>
      <c r="C40" s="6"/>
      <c r="D40" s="6"/>
    </row>
    <row r="41" spans="1:4" ht="18" x14ac:dyDescent="0.25">
      <c r="A41" s="6" t="s">
        <v>151</v>
      </c>
      <c r="B41" s="7">
        <v>0</v>
      </c>
      <c r="C41" s="6"/>
      <c r="D41" s="6"/>
    </row>
    <row r="42" spans="1:4" ht="18" x14ac:dyDescent="0.25">
      <c r="A42" s="6" t="s">
        <v>152</v>
      </c>
      <c r="B42" s="7">
        <v>0</v>
      </c>
      <c r="C42" s="6"/>
      <c r="D42" s="6"/>
    </row>
    <row r="43" spans="1:4" ht="18" x14ac:dyDescent="0.25">
      <c r="A43" s="6" t="s">
        <v>153</v>
      </c>
      <c r="B43" s="7">
        <v>0</v>
      </c>
      <c r="C43" s="6"/>
      <c r="D43" s="6"/>
    </row>
    <row r="44" spans="1:4" ht="18" x14ac:dyDescent="0.25">
      <c r="A44" s="6" t="s">
        <v>154</v>
      </c>
      <c r="B44" s="7">
        <v>0</v>
      </c>
      <c r="C44" s="6"/>
      <c r="D44" s="6"/>
    </row>
    <row r="45" spans="1:4" ht="18" x14ac:dyDescent="0.25">
      <c r="A45" s="6" t="s">
        <v>155</v>
      </c>
      <c r="B45" s="7">
        <v>0</v>
      </c>
      <c r="C45" s="6"/>
      <c r="D45" s="6"/>
    </row>
    <row r="46" spans="1:4" ht="18" x14ac:dyDescent="0.25">
      <c r="A46" s="6" t="s">
        <v>156</v>
      </c>
      <c r="B46" s="7">
        <v>0</v>
      </c>
      <c r="C46" s="6"/>
      <c r="D46" s="6"/>
    </row>
    <row r="47" spans="1:4" ht="18" x14ac:dyDescent="0.25">
      <c r="A47" s="6" t="s">
        <v>157</v>
      </c>
      <c r="B47" s="7">
        <v>0</v>
      </c>
      <c r="C47" s="6"/>
      <c r="D47" s="6"/>
    </row>
    <row r="48" spans="1:4" ht="18" x14ac:dyDescent="0.25">
      <c r="A48" s="6" t="s">
        <v>158</v>
      </c>
      <c r="B48" s="7">
        <v>0</v>
      </c>
      <c r="C48" s="6"/>
      <c r="D48" s="6"/>
    </row>
    <row r="49" spans="1:4" ht="18" x14ac:dyDescent="0.25">
      <c r="A49" s="6" t="s">
        <v>159</v>
      </c>
      <c r="B49" s="7" t="s">
        <v>79</v>
      </c>
      <c r="C49" s="6"/>
      <c r="D49" s="6"/>
    </row>
    <row r="50" spans="1:4" ht="18" x14ac:dyDescent="0.25">
      <c r="A50" s="6" t="s">
        <v>160</v>
      </c>
      <c r="B50" s="7" t="s">
        <v>81</v>
      </c>
      <c r="C50" s="6"/>
      <c r="D50" s="6"/>
    </row>
    <row r="51" spans="1:4" ht="18" x14ac:dyDescent="0.25">
      <c r="A51" s="6" t="s">
        <v>161</v>
      </c>
      <c r="B51" s="7" t="s">
        <v>79</v>
      </c>
      <c r="C51" s="6"/>
      <c r="D51" s="6"/>
    </row>
    <row r="52" spans="1:4" ht="18" x14ac:dyDescent="0.25">
      <c r="A52" s="6" t="s">
        <v>162</v>
      </c>
      <c r="B52" s="7" t="s">
        <v>81</v>
      </c>
      <c r="C52" s="6"/>
      <c r="D52" s="6"/>
    </row>
    <row r="53" spans="1:4" ht="18" x14ac:dyDescent="0.25">
      <c r="A53" s="6" t="s">
        <v>163</v>
      </c>
      <c r="B53" s="7" t="s">
        <v>81</v>
      </c>
      <c r="C53" s="6"/>
      <c r="D53" s="6"/>
    </row>
    <row r="54" spans="1:4" ht="18" x14ac:dyDescent="0.25">
      <c r="A54" s="6" t="s">
        <v>164</v>
      </c>
      <c r="B54" s="7" t="s">
        <v>81</v>
      </c>
      <c r="C54" s="6"/>
      <c r="D54" s="6"/>
    </row>
    <row r="55" spans="1:4" ht="18" x14ac:dyDescent="0.25">
      <c r="A55" s="6" t="s">
        <v>165</v>
      </c>
      <c r="B55" s="7" t="s">
        <v>75</v>
      </c>
      <c r="C55" s="6"/>
      <c r="D55" s="6"/>
    </row>
    <row r="56" spans="1:4" ht="18" x14ac:dyDescent="0.25">
      <c r="A56" s="6" t="s">
        <v>166</v>
      </c>
      <c r="B56" s="7" t="s">
        <v>81</v>
      </c>
      <c r="C56" s="6"/>
      <c r="D56" s="6"/>
    </row>
    <row r="57" spans="1:4" ht="18" x14ac:dyDescent="0.25">
      <c r="A57" s="6" t="s">
        <v>167</v>
      </c>
      <c r="B57" s="7" t="s">
        <v>117</v>
      </c>
      <c r="C57" s="6"/>
      <c r="D57" s="6"/>
    </row>
    <row r="58" spans="1:4" ht="18" x14ac:dyDescent="0.25">
      <c r="A58" s="6" t="s">
        <v>168</v>
      </c>
      <c r="B58" s="7" t="s">
        <v>72</v>
      </c>
      <c r="C58" s="6"/>
      <c r="D58" s="6"/>
    </row>
    <row r="59" spans="1:4" ht="18" x14ac:dyDescent="0.25">
      <c r="A59" s="6" t="s">
        <v>169</v>
      </c>
      <c r="B59" s="7" t="s">
        <v>96</v>
      </c>
      <c r="C59" s="6"/>
      <c r="D59" s="6"/>
    </row>
    <row r="60" spans="1:4" ht="18" x14ac:dyDescent="0.25">
      <c r="A60" s="6" t="s">
        <v>170</v>
      </c>
      <c r="B60" s="7" t="s">
        <v>72</v>
      </c>
      <c r="C60" s="6"/>
      <c r="D60" s="6"/>
    </row>
    <row r="61" spans="1:4" ht="18" x14ac:dyDescent="0.25">
      <c r="A61" s="6" t="s">
        <v>171</v>
      </c>
      <c r="B61" s="7" t="s">
        <v>79</v>
      </c>
      <c r="C61" s="6"/>
      <c r="D61" s="6"/>
    </row>
    <row r="62" spans="1:4" ht="18" x14ac:dyDescent="0.25">
      <c r="A62" s="6" t="s">
        <v>172</v>
      </c>
      <c r="B62" s="7" t="s">
        <v>79</v>
      </c>
      <c r="C62" s="6"/>
      <c r="D62" s="6"/>
    </row>
    <row r="63" spans="1:4" ht="18" x14ac:dyDescent="0.25">
      <c r="A63" s="6" t="s">
        <v>173</v>
      </c>
      <c r="B63" s="7" t="s">
        <v>81</v>
      </c>
      <c r="C63" s="6"/>
      <c r="D63" s="6"/>
    </row>
    <row r="64" spans="1:4" ht="18" x14ac:dyDescent="0.25">
      <c r="A64" s="6" t="s">
        <v>174</v>
      </c>
      <c r="B64" s="7" t="s">
        <v>81</v>
      </c>
      <c r="C64" s="6"/>
      <c r="D64" s="6"/>
    </row>
    <row r="65" spans="1:4" ht="18" x14ac:dyDescent="0.25">
      <c r="A65" s="6" t="s">
        <v>175</v>
      </c>
      <c r="B65" s="7" t="s">
        <v>81</v>
      </c>
      <c r="C65" s="6"/>
      <c r="D65" s="6"/>
    </row>
    <row r="66" spans="1:4" ht="18" x14ac:dyDescent="0.25">
      <c r="A66" s="6" t="s">
        <v>176</v>
      </c>
      <c r="B66" s="7" t="s">
        <v>72</v>
      </c>
      <c r="C66" s="6"/>
      <c r="D66" s="6"/>
    </row>
    <row r="67" spans="1:4" ht="18" x14ac:dyDescent="0.25">
      <c r="A67" s="6" t="s">
        <v>177</v>
      </c>
      <c r="B67" s="7" t="s">
        <v>72</v>
      </c>
      <c r="C67" s="6"/>
      <c r="D67" s="6"/>
    </row>
    <row r="68" spans="1:4" ht="18" x14ac:dyDescent="0.25">
      <c r="A68" s="6" t="s">
        <v>178</v>
      </c>
      <c r="B68" s="7" t="s">
        <v>81</v>
      </c>
      <c r="C68" s="6"/>
      <c r="D68" s="6"/>
    </row>
    <row r="69" spans="1:4" ht="18" x14ac:dyDescent="0.25">
      <c r="A69" s="6" t="s">
        <v>179</v>
      </c>
      <c r="B69" s="7" t="s">
        <v>72</v>
      </c>
      <c r="C69" s="6"/>
      <c r="D69" s="6"/>
    </row>
    <row r="70" spans="1:4" ht="18" x14ac:dyDescent="0.25">
      <c r="A70" s="6" t="s">
        <v>180</v>
      </c>
      <c r="B70" s="7" t="s">
        <v>79</v>
      </c>
      <c r="C70" s="6"/>
      <c r="D70" s="6"/>
    </row>
    <row r="71" spans="1:4" ht="18" x14ac:dyDescent="0.25">
      <c r="A71" s="6" t="s">
        <v>181</v>
      </c>
      <c r="B71" s="7" t="s">
        <v>75</v>
      </c>
      <c r="C71" s="6"/>
      <c r="D71" s="6"/>
    </row>
    <row r="72" spans="1:4" ht="18" x14ac:dyDescent="0.25">
      <c r="A72" s="6" t="s">
        <v>182</v>
      </c>
      <c r="B72" s="7" t="s">
        <v>81</v>
      </c>
      <c r="C72" s="6"/>
      <c r="D72" s="6"/>
    </row>
    <row r="73" spans="1:4" ht="18" x14ac:dyDescent="0.25">
      <c r="A73" s="6" t="s">
        <v>183</v>
      </c>
      <c r="B73" s="7" t="s">
        <v>79</v>
      </c>
      <c r="C73" s="6"/>
      <c r="D73" s="6"/>
    </row>
    <row r="74" spans="1:4" ht="18" x14ac:dyDescent="0.25">
      <c r="A74" s="6" t="s">
        <v>184</v>
      </c>
      <c r="B74" s="7" t="s">
        <v>81</v>
      </c>
      <c r="C74" s="6"/>
      <c r="D74" s="6"/>
    </row>
    <row r="75" spans="1:4" ht="18" x14ac:dyDescent="0.25">
      <c r="A75" s="6" t="s">
        <v>185</v>
      </c>
      <c r="B75" s="7" t="s">
        <v>96</v>
      </c>
      <c r="C75" s="6"/>
      <c r="D75" s="6"/>
    </row>
    <row r="76" spans="1:4" ht="18" x14ac:dyDescent="0.25">
      <c r="A76" s="6" t="s">
        <v>186</v>
      </c>
      <c r="B76" s="7" t="s">
        <v>79</v>
      </c>
      <c r="C76" s="6"/>
      <c r="D76" s="6"/>
    </row>
    <row r="77" spans="1:4" ht="18" x14ac:dyDescent="0.25">
      <c r="A77" s="6" t="s">
        <v>187</v>
      </c>
      <c r="B77" s="7" t="s">
        <v>72</v>
      </c>
      <c r="C77" s="6"/>
      <c r="D77" s="6"/>
    </row>
    <row r="78" spans="1:4" ht="18" x14ac:dyDescent="0.25">
      <c r="A78" s="6" t="s">
        <v>188</v>
      </c>
      <c r="B78" s="7" t="s">
        <v>81</v>
      </c>
      <c r="C78" s="6"/>
      <c r="D78" s="6"/>
    </row>
    <row r="79" spans="1:4" x14ac:dyDescent="0.25">
      <c r="A79" t="s">
        <v>189</v>
      </c>
      <c r="B79">
        <v>0</v>
      </c>
    </row>
    <row r="80" spans="1:4" ht="18" x14ac:dyDescent="0.25">
      <c r="A80" s="6" t="s">
        <v>190</v>
      </c>
      <c r="B80" s="7" t="s">
        <v>72</v>
      </c>
      <c r="C80" s="6"/>
      <c r="D80" s="6"/>
    </row>
    <row r="81" spans="1:4" ht="18" x14ac:dyDescent="0.25">
      <c r="A81" s="6" t="s">
        <v>191</v>
      </c>
      <c r="B81" s="7" t="s">
        <v>70</v>
      </c>
      <c r="C81" s="6"/>
      <c r="D81" s="6"/>
    </row>
    <row r="82" spans="1:4" ht="18" x14ac:dyDescent="0.25">
      <c r="A82" s="6" t="s">
        <v>192</v>
      </c>
      <c r="B82" s="7" t="s">
        <v>81</v>
      </c>
      <c r="C82" s="6"/>
      <c r="D82" s="6"/>
    </row>
    <row r="83" spans="1:4" ht="18" x14ac:dyDescent="0.25">
      <c r="A83" s="6" t="s">
        <v>193</v>
      </c>
      <c r="B83" s="7" t="s">
        <v>79</v>
      </c>
      <c r="C83" s="6"/>
      <c r="D83" s="6"/>
    </row>
    <row r="84" spans="1:4" ht="18" x14ac:dyDescent="0.25">
      <c r="A84" s="6" t="s">
        <v>194</v>
      </c>
      <c r="B84" s="7" t="s">
        <v>79</v>
      </c>
      <c r="C84" s="6"/>
      <c r="D84" s="6"/>
    </row>
    <row r="85" spans="1:4" ht="18" x14ac:dyDescent="0.25">
      <c r="A85" s="6" t="s">
        <v>195</v>
      </c>
      <c r="B85" s="7" t="s">
        <v>75</v>
      </c>
      <c r="C85" s="6"/>
      <c r="D85" s="6"/>
    </row>
    <row r="86" spans="1:4" ht="18" x14ac:dyDescent="0.25">
      <c r="A86" s="6" t="s">
        <v>196</v>
      </c>
      <c r="B86" s="7" t="s">
        <v>81</v>
      </c>
      <c r="C86" s="6"/>
      <c r="D86" s="6"/>
    </row>
    <row r="87" spans="1:4" ht="18" x14ac:dyDescent="0.25">
      <c r="A87" s="6" t="s">
        <v>197</v>
      </c>
      <c r="B87" s="7" t="s">
        <v>79</v>
      </c>
      <c r="C87" s="6"/>
      <c r="D87" s="6"/>
    </row>
    <row r="88" spans="1:4" ht="18" x14ac:dyDescent="0.25">
      <c r="A88" s="6" t="s">
        <v>198</v>
      </c>
      <c r="B88" s="7" t="s">
        <v>81</v>
      </c>
      <c r="C88" s="6"/>
      <c r="D88" s="6"/>
    </row>
    <row r="89" spans="1:4" ht="18" x14ac:dyDescent="0.25">
      <c r="A89" s="6" t="s">
        <v>199</v>
      </c>
      <c r="B89" s="7" t="s">
        <v>79</v>
      </c>
      <c r="C89" s="6"/>
      <c r="D89" s="6"/>
    </row>
    <row r="90" spans="1:4" ht="18" x14ac:dyDescent="0.25">
      <c r="A90" s="6" t="s">
        <v>200</v>
      </c>
      <c r="B90" s="7" t="s">
        <v>79</v>
      </c>
      <c r="C90" s="6"/>
      <c r="D90" s="6"/>
    </row>
    <row r="91" spans="1:4" ht="18" x14ac:dyDescent="0.25">
      <c r="A91" s="6" t="s">
        <v>201</v>
      </c>
      <c r="B91" s="7" t="s">
        <v>81</v>
      </c>
      <c r="C91" s="6"/>
      <c r="D91" s="6"/>
    </row>
    <row r="92" spans="1:4" ht="18" x14ac:dyDescent="0.25">
      <c r="A92" s="6" t="s">
        <v>202</v>
      </c>
      <c r="B92" s="7" t="s">
        <v>72</v>
      </c>
      <c r="C92" s="6"/>
      <c r="D92" s="6"/>
    </row>
    <row r="93" spans="1:4" ht="18" x14ac:dyDescent="0.25">
      <c r="A93" s="6" t="s">
        <v>203</v>
      </c>
      <c r="B93" s="7" t="s">
        <v>81</v>
      </c>
      <c r="C93" s="6"/>
      <c r="D93" s="6"/>
    </row>
    <row r="94" spans="1:4" ht="18" x14ac:dyDescent="0.25">
      <c r="A94" s="6" t="s">
        <v>204</v>
      </c>
      <c r="B94" s="7" t="s">
        <v>81</v>
      </c>
      <c r="C94" s="6"/>
      <c r="D94" s="6"/>
    </row>
    <row r="95" spans="1:4" ht="18" x14ac:dyDescent="0.25">
      <c r="A95" s="6" t="s">
        <v>205</v>
      </c>
      <c r="B95" s="7" t="s">
        <v>75</v>
      </c>
      <c r="C95" s="6"/>
      <c r="D95" s="6"/>
    </row>
    <row r="96" spans="1:4" ht="18" x14ac:dyDescent="0.25">
      <c r="A96" s="6" t="s">
        <v>206</v>
      </c>
      <c r="B96" s="7" t="s">
        <v>72</v>
      </c>
      <c r="C96" s="6"/>
      <c r="D96" s="6"/>
    </row>
    <row r="97" spans="1:4" ht="18" x14ac:dyDescent="0.25">
      <c r="A97" s="6" t="s">
        <v>207</v>
      </c>
      <c r="B97" s="7" t="s">
        <v>96</v>
      </c>
      <c r="C97" s="6"/>
      <c r="D97" s="6"/>
    </row>
    <row r="98" spans="1:4" ht="18" x14ac:dyDescent="0.25">
      <c r="A98" s="6" t="s">
        <v>208</v>
      </c>
      <c r="B98" s="7" t="s">
        <v>79</v>
      </c>
      <c r="C98" s="6"/>
      <c r="D98" s="6"/>
    </row>
    <row r="99" spans="1:4" ht="18" x14ac:dyDescent="0.25">
      <c r="A99" s="6" t="s">
        <v>209</v>
      </c>
      <c r="B99" s="7" t="s">
        <v>81</v>
      </c>
      <c r="C99" s="6"/>
      <c r="D99" s="6"/>
    </row>
    <row r="100" spans="1:4" ht="18" x14ac:dyDescent="0.25">
      <c r="A100" s="6" t="s">
        <v>210</v>
      </c>
      <c r="B100" s="7" t="s">
        <v>81</v>
      </c>
      <c r="C100" s="6"/>
      <c r="D100" s="6"/>
    </row>
    <row r="101" spans="1:4" ht="18" x14ac:dyDescent="0.25">
      <c r="A101" s="6" t="s">
        <v>211</v>
      </c>
      <c r="B101" s="7" t="s">
        <v>79</v>
      </c>
      <c r="C101" s="6"/>
      <c r="D101" s="6"/>
    </row>
    <row r="102" spans="1:4" ht="18" x14ac:dyDescent="0.25">
      <c r="A102" s="6" t="s">
        <v>212</v>
      </c>
      <c r="B102" s="7" t="s">
        <v>72</v>
      </c>
      <c r="C102" s="6"/>
      <c r="D102" s="6"/>
    </row>
    <row r="103" spans="1:4" ht="18" x14ac:dyDescent="0.25">
      <c r="A103" s="6" t="s">
        <v>213</v>
      </c>
      <c r="B103" s="7" t="s">
        <v>81</v>
      </c>
      <c r="C103" s="6"/>
      <c r="D103" s="6"/>
    </row>
    <row r="104" spans="1:4" ht="18" x14ac:dyDescent="0.25">
      <c r="A104" s="6" t="s">
        <v>214</v>
      </c>
      <c r="B104" s="7" t="s">
        <v>81</v>
      </c>
      <c r="C104" s="6"/>
      <c r="D104" s="6"/>
    </row>
    <row r="105" spans="1:4" ht="18" x14ac:dyDescent="0.25">
      <c r="A105" s="6" t="s">
        <v>215</v>
      </c>
      <c r="B105" s="7" t="s">
        <v>72</v>
      </c>
      <c r="C105" s="6"/>
      <c r="D105" s="6"/>
    </row>
    <row r="106" spans="1:4" ht="18" x14ac:dyDescent="0.25">
      <c r="A106" s="6" t="s">
        <v>216</v>
      </c>
      <c r="B106" s="7" t="s">
        <v>79</v>
      </c>
      <c r="C106" s="6"/>
      <c r="D106" s="6"/>
    </row>
    <row r="107" spans="1:4" ht="18" x14ac:dyDescent="0.25">
      <c r="A107" s="6" t="s">
        <v>217</v>
      </c>
      <c r="B107" s="7" t="s">
        <v>79</v>
      </c>
      <c r="C107" s="6"/>
      <c r="D107" s="6"/>
    </row>
    <row r="108" spans="1:4" ht="18" x14ac:dyDescent="0.25">
      <c r="A108" s="6" t="s">
        <v>218</v>
      </c>
      <c r="B108" s="7" t="s">
        <v>79</v>
      </c>
      <c r="C108" s="6"/>
      <c r="D108" s="6"/>
    </row>
    <row r="109" spans="1:4" ht="18" x14ac:dyDescent="0.25">
      <c r="A109" s="6" t="s">
        <v>219</v>
      </c>
      <c r="B109" s="7" t="s">
        <v>81</v>
      </c>
      <c r="C109" s="6"/>
      <c r="D109" s="6"/>
    </row>
    <row r="110" spans="1:4" ht="18" x14ac:dyDescent="0.25">
      <c r="A110" s="6" t="s">
        <v>220</v>
      </c>
      <c r="B110" s="7" t="s">
        <v>81</v>
      </c>
      <c r="C110" s="6"/>
      <c r="D110" s="6"/>
    </row>
    <row r="111" spans="1:4" ht="18" x14ac:dyDescent="0.25">
      <c r="A111" s="6" t="s">
        <v>221</v>
      </c>
      <c r="B111" s="7" t="s">
        <v>72</v>
      </c>
      <c r="C111" s="6"/>
      <c r="D111" s="6"/>
    </row>
    <row r="112" spans="1:4" ht="18" x14ac:dyDescent="0.25">
      <c r="A112" s="6" t="s">
        <v>222</v>
      </c>
      <c r="B112" s="7" t="s">
        <v>79</v>
      </c>
      <c r="C112" s="6"/>
      <c r="D112" s="6"/>
    </row>
    <row r="113" spans="1:4" ht="18" x14ac:dyDescent="0.25">
      <c r="A113" s="6" t="s">
        <v>223</v>
      </c>
      <c r="B113" s="7" t="s">
        <v>81</v>
      </c>
      <c r="C113" s="6"/>
      <c r="D113" s="6"/>
    </row>
    <row r="114" spans="1:4" ht="18" x14ac:dyDescent="0.25">
      <c r="A114" s="6" t="s">
        <v>224</v>
      </c>
      <c r="B114" s="7" t="s">
        <v>79</v>
      </c>
      <c r="C114" s="6"/>
      <c r="D114" s="6"/>
    </row>
    <row r="115" spans="1:4" ht="18" x14ac:dyDescent="0.25">
      <c r="A115" s="6" t="s">
        <v>225</v>
      </c>
      <c r="B115" s="7" t="s">
        <v>72</v>
      </c>
      <c r="C115" s="6"/>
      <c r="D115" s="6"/>
    </row>
    <row r="116" spans="1:4" ht="18" x14ac:dyDescent="0.25">
      <c r="A116" s="6" t="s">
        <v>226</v>
      </c>
      <c r="B116" s="7" t="s">
        <v>75</v>
      </c>
      <c r="C116" s="6"/>
      <c r="D116" s="6"/>
    </row>
    <row r="117" spans="1:4" ht="18" x14ac:dyDescent="0.25">
      <c r="A117" s="6" t="s">
        <v>227</v>
      </c>
      <c r="B117" s="7" t="s">
        <v>81</v>
      </c>
      <c r="C117" s="6"/>
      <c r="D117" s="6"/>
    </row>
    <row r="118" spans="1:4" ht="18" x14ac:dyDescent="0.25">
      <c r="A118" s="6" t="s">
        <v>228</v>
      </c>
      <c r="B118" s="7" t="s">
        <v>81</v>
      </c>
      <c r="C118" s="6"/>
      <c r="D118" s="6"/>
    </row>
    <row r="119" spans="1:4" ht="18" x14ac:dyDescent="0.25">
      <c r="A119" s="6" t="s">
        <v>229</v>
      </c>
      <c r="B119" s="7" t="s">
        <v>72</v>
      </c>
      <c r="C119" s="6"/>
      <c r="D119" s="6"/>
    </row>
    <row r="120" spans="1:4" ht="18" x14ac:dyDescent="0.25">
      <c r="A120" s="6" t="s">
        <v>230</v>
      </c>
      <c r="B120" s="7" t="s">
        <v>75</v>
      </c>
      <c r="C120" s="6"/>
      <c r="D120" s="6"/>
    </row>
    <row r="121" spans="1:4" ht="18" x14ac:dyDescent="0.25">
      <c r="A121" s="6" t="s">
        <v>231</v>
      </c>
      <c r="B121" s="7" t="s">
        <v>81</v>
      </c>
      <c r="C121" s="6"/>
      <c r="D121" s="6"/>
    </row>
    <row r="122" spans="1:4" ht="18" x14ac:dyDescent="0.25">
      <c r="A122" s="6" t="s">
        <v>232</v>
      </c>
      <c r="B122" s="7" t="s">
        <v>75</v>
      </c>
      <c r="C122" s="6"/>
      <c r="D122" s="6"/>
    </row>
    <row r="123" spans="1:4" ht="18" x14ac:dyDescent="0.25">
      <c r="A123" s="6" t="s">
        <v>233</v>
      </c>
      <c r="B123" s="7" t="s">
        <v>79</v>
      </c>
      <c r="C123" s="6"/>
      <c r="D123" s="6"/>
    </row>
    <row r="124" spans="1:4" ht="18" x14ac:dyDescent="0.25">
      <c r="A124" s="6" t="s">
        <v>234</v>
      </c>
      <c r="B124" s="7" t="s">
        <v>81</v>
      </c>
      <c r="C124" s="6"/>
      <c r="D124" s="6"/>
    </row>
    <row r="125" spans="1:4" ht="18" x14ac:dyDescent="0.25">
      <c r="A125" s="6" t="s">
        <v>235</v>
      </c>
      <c r="B125" s="7" t="s">
        <v>81</v>
      </c>
      <c r="C125" s="6"/>
      <c r="D125" s="6"/>
    </row>
    <row r="126" spans="1:4" ht="18" x14ac:dyDescent="0.25">
      <c r="A126" s="6" t="s">
        <v>236</v>
      </c>
      <c r="B126" s="7" t="s">
        <v>81</v>
      </c>
      <c r="C126" s="6"/>
      <c r="D126" s="6"/>
    </row>
    <row r="127" spans="1:4" ht="18" x14ac:dyDescent="0.25">
      <c r="A127" s="6" t="s">
        <v>237</v>
      </c>
      <c r="B127" s="7" t="s">
        <v>72</v>
      </c>
      <c r="C127" s="6"/>
      <c r="D127" s="6"/>
    </row>
    <row r="128" spans="1:4" ht="18" x14ac:dyDescent="0.25">
      <c r="A128" s="6" t="s">
        <v>238</v>
      </c>
      <c r="B128" s="7" t="s">
        <v>81</v>
      </c>
      <c r="C128" s="6"/>
      <c r="D128" s="6"/>
    </row>
    <row r="129" spans="1:4" ht="18" x14ac:dyDescent="0.25">
      <c r="A129" s="6" t="s">
        <v>239</v>
      </c>
      <c r="B129" s="7" t="s">
        <v>81</v>
      </c>
      <c r="C129" s="6"/>
      <c r="D129" s="6"/>
    </row>
    <row r="130" spans="1:4" ht="18" x14ac:dyDescent="0.25">
      <c r="A130" s="6" t="s">
        <v>240</v>
      </c>
      <c r="B130" s="7" t="s">
        <v>81</v>
      </c>
      <c r="C130" s="6"/>
      <c r="D130" s="6"/>
    </row>
    <row r="131" spans="1:4" ht="18" x14ac:dyDescent="0.25">
      <c r="A131" s="6" t="s">
        <v>241</v>
      </c>
      <c r="B131" s="7" t="s">
        <v>79</v>
      </c>
      <c r="C131" s="6"/>
      <c r="D131" s="6"/>
    </row>
    <row r="132" spans="1:4" ht="18" x14ac:dyDescent="0.25">
      <c r="A132" s="6" t="s">
        <v>242</v>
      </c>
      <c r="B132" s="7" t="s">
        <v>79</v>
      </c>
      <c r="C132" s="6"/>
      <c r="D132" s="6"/>
    </row>
    <row r="133" spans="1:4" ht="18" x14ac:dyDescent="0.25">
      <c r="A133" s="6" t="s">
        <v>243</v>
      </c>
      <c r="B133" s="7" t="s">
        <v>75</v>
      </c>
      <c r="C133" s="6"/>
      <c r="D133" s="6"/>
    </row>
    <row r="134" spans="1:4" ht="18" x14ac:dyDescent="0.25">
      <c r="A134" s="6" t="s">
        <v>244</v>
      </c>
      <c r="B134" s="7" t="s">
        <v>81</v>
      </c>
      <c r="C134" s="6"/>
      <c r="D134" s="6"/>
    </row>
    <row r="135" spans="1:4" ht="18" x14ac:dyDescent="0.25">
      <c r="A135" s="6" t="s">
        <v>245</v>
      </c>
      <c r="B135" s="7" t="s">
        <v>81</v>
      </c>
      <c r="C135" s="6"/>
      <c r="D135" s="6"/>
    </row>
    <row r="136" spans="1:4" ht="18" x14ac:dyDescent="0.25">
      <c r="A136" s="6" t="s">
        <v>246</v>
      </c>
      <c r="B136" s="7" t="s">
        <v>96</v>
      </c>
      <c r="C136" s="6"/>
      <c r="D136" s="6"/>
    </row>
    <row r="137" spans="1:4" ht="18" x14ac:dyDescent="0.25">
      <c r="A137" s="6" t="s">
        <v>247</v>
      </c>
      <c r="B137" s="7" t="s">
        <v>81</v>
      </c>
      <c r="C137" s="6"/>
      <c r="D137" s="6"/>
    </row>
    <row r="138" spans="1:4" ht="18" x14ac:dyDescent="0.25">
      <c r="A138" s="6" t="s">
        <v>248</v>
      </c>
      <c r="B138" s="7" t="s">
        <v>96</v>
      </c>
      <c r="C138" s="6"/>
      <c r="D138" s="6"/>
    </row>
    <row r="139" spans="1:4" ht="18" x14ac:dyDescent="0.25">
      <c r="A139" s="6" t="s">
        <v>249</v>
      </c>
      <c r="B139" s="7" t="s">
        <v>79</v>
      </c>
      <c r="C139" s="6"/>
      <c r="D139" s="6"/>
    </row>
    <row r="140" spans="1:4" ht="18" x14ac:dyDescent="0.25">
      <c r="A140" s="6" t="s">
        <v>250</v>
      </c>
      <c r="B140" s="7" t="s">
        <v>96</v>
      </c>
      <c r="C140" s="6"/>
      <c r="D140" s="6"/>
    </row>
    <row r="141" spans="1:4" ht="18" x14ac:dyDescent="0.25">
      <c r="A141" s="6" t="s">
        <v>251</v>
      </c>
      <c r="B141" s="7" t="s">
        <v>81</v>
      </c>
      <c r="C141" s="6"/>
      <c r="D141" s="6"/>
    </row>
    <row r="142" spans="1:4" ht="18" x14ac:dyDescent="0.25">
      <c r="A142" s="6" t="s">
        <v>252</v>
      </c>
      <c r="B142" s="7" t="s">
        <v>72</v>
      </c>
      <c r="C142" s="6"/>
      <c r="D142" s="6"/>
    </row>
    <row r="143" spans="1:4" ht="18" x14ac:dyDescent="0.25">
      <c r="A143" s="6" t="s">
        <v>253</v>
      </c>
      <c r="B143" s="7" t="s">
        <v>79</v>
      </c>
      <c r="C143" s="6"/>
      <c r="D143" s="6"/>
    </row>
    <row r="144" spans="1:4" ht="18" x14ac:dyDescent="0.25">
      <c r="A144" s="6" t="s">
        <v>254</v>
      </c>
      <c r="B144" s="7" t="s">
        <v>70</v>
      </c>
      <c r="C144" s="6"/>
      <c r="D144" s="6"/>
    </row>
    <row r="145" spans="1:4" ht="18" x14ac:dyDescent="0.25">
      <c r="A145" s="6" t="s">
        <v>255</v>
      </c>
      <c r="B145" s="7" t="s">
        <v>96</v>
      </c>
      <c r="C145" s="6"/>
      <c r="D145" s="6"/>
    </row>
    <row r="146" spans="1:4" ht="18" x14ac:dyDescent="0.25">
      <c r="A146" s="6" t="s">
        <v>256</v>
      </c>
      <c r="B146" s="7" t="s">
        <v>79</v>
      </c>
      <c r="C146" s="6"/>
      <c r="D146" s="6"/>
    </row>
    <row r="147" spans="1:4" ht="18" x14ac:dyDescent="0.25">
      <c r="A147" s="6" t="s">
        <v>257</v>
      </c>
      <c r="B147" s="7" t="s">
        <v>81</v>
      </c>
      <c r="C147" s="6"/>
      <c r="D147" s="6"/>
    </row>
    <row r="148" spans="1:4" ht="18" x14ac:dyDescent="0.25">
      <c r="A148" s="6" t="s">
        <v>258</v>
      </c>
      <c r="B148" s="7" t="s">
        <v>79</v>
      </c>
      <c r="C148" s="6"/>
      <c r="D148" s="6"/>
    </row>
    <row r="149" spans="1:4" ht="18" x14ac:dyDescent="0.25">
      <c r="A149" s="6" t="s">
        <v>259</v>
      </c>
      <c r="B149" s="7" t="s">
        <v>72</v>
      </c>
      <c r="C149" s="6"/>
      <c r="D149" s="6"/>
    </row>
    <row r="150" spans="1:4" ht="18" x14ac:dyDescent="0.25">
      <c r="A150" s="6" t="s">
        <v>260</v>
      </c>
      <c r="B150" s="7" t="s">
        <v>81</v>
      </c>
      <c r="C150" s="6"/>
      <c r="D150" s="6"/>
    </row>
    <row r="151" spans="1:4" ht="18" x14ac:dyDescent="0.25">
      <c r="A151" s="6" t="s">
        <v>261</v>
      </c>
      <c r="B151" s="7" t="s">
        <v>81</v>
      </c>
      <c r="C151" s="6"/>
      <c r="D151" s="6"/>
    </row>
    <row r="152" spans="1:4" ht="18" x14ac:dyDescent="0.25">
      <c r="A152" s="6" t="s">
        <v>262</v>
      </c>
      <c r="B152" s="7" t="s">
        <v>81</v>
      </c>
      <c r="C152" s="6"/>
      <c r="D152" s="6"/>
    </row>
    <row r="153" spans="1:4" ht="18" x14ac:dyDescent="0.25">
      <c r="A153" s="6" t="s">
        <v>263</v>
      </c>
      <c r="B153" s="7" t="s">
        <v>72</v>
      </c>
      <c r="C153" s="6"/>
      <c r="D153" s="6"/>
    </row>
    <row r="154" spans="1:4" ht="18" x14ac:dyDescent="0.25">
      <c r="A154" s="6" t="s">
        <v>264</v>
      </c>
      <c r="B154" s="7" t="s">
        <v>72</v>
      </c>
      <c r="C154" s="6"/>
      <c r="D154" s="6"/>
    </row>
    <row r="155" spans="1:4" ht="18" x14ac:dyDescent="0.25">
      <c r="A155" s="6" t="s">
        <v>265</v>
      </c>
      <c r="B155" s="7" t="s">
        <v>79</v>
      </c>
      <c r="C155" s="6"/>
      <c r="D155" s="6"/>
    </row>
    <row r="156" spans="1:4" ht="18" x14ac:dyDescent="0.25">
      <c r="A156" s="6" t="s">
        <v>266</v>
      </c>
      <c r="B156" s="7" t="s">
        <v>72</v>
      </c>
      <c r="C156" s="6"/>
      <c r="D156" s="6"/>
    </row>
    <row r="157" spans="1:4" ht="18" x14ac:dyDescent="0.25">
      <c r="A157" s="6" t="s">
        <v>267</v>
      </c>
      <c r="B157" s="7" t="s">
        <v>79</v>
      </c>
      <c r="C157" s="6"/>
      <c r="D157" s="6"/>
    </row>
    <row r="158" spans="1:4" ht="18" x14ac:dyDescent="0.25">
      <c r="A158" s="6" t="s">
        <v>268</v>
      </c>
      <c r="B158" s="7" t="s">
        <v>81</v>
      </c>
      <c r="C158" s="6"/>
      <c r="D158" s="6"/>
    </row>
    <row r="159" spans="1:4" ht="18" x14ac:dyDescent="0.25">
      <c r="A159" s="6" t="s">
        <v>269</v>
      </c>
      <c r="B159" s="7" t="s">
        <v>81</v>
      </c>
      <c r="C159" s="6"/>
      <c r="D159" s="6"/>
    </row>
    <row r="160" spans="1:4" ht="18" x14ac:dyDescent="0.25">
      <c r="A160" s="6" t="s">
        <v>270</v>
      </c>
      <c r="B160" s="7" t="s">
        <v>72</v>
      </c>
      <c r="C160" s="6"/>
      <c r="D160" s="6"/>
    </row>
    <row r="161" spans="1:4" ht="18" x14ac:dyDescent="0.25">
      <c r="A161" s="6" t="s">
        <v>271</v>
      </c>
      <c r="B161" s="7" t="s">
        <v>81</v>
      </c>
      <c r="C161" s="6"/>
      <c r="D161" s="6"/>
    </row>
    <row r="162" spans="1:4" ht="18" x14ac:dyDescent="0.25">
      <c r="A162" s="6" t="s">
        <v>272</v>
      </c>
      <c r="B162" s="7" t="s">
        <v>81</v>
      </c>
      <c r="C162" s="6"/>
      <c r="D162" s="6"/>
    </row>
    <row r="163" spans="1:4" ht="18" x14ac:dyDescent="0.25">
      <c r="A163" s="6" t="s">
        <v>273</v>
      </c>
      <c r="B163" s="7" t="s">
        <v>72</v>
      </c>
      <c r="C163" s="6"/>
      <c r="D163" s="6"/>
    </row>
    <row r="164" spans="1:4" ht="18" x14ac:dyDescent="0.25">
      <c r="A164" s="6" t="s">
        <v>274</v>
      </c>
      <c r="B164" s="7" t="s">
        <v>79</v>
      </c>
      <c r="C164" s="6"/>
      <c r="D164" s="6"/>
    </row>
    <row r="165" spans="1:4" ht="18" x14ac:dyDescent="0.25">
      <c r="A165" s="6" t="s">
        <v>275</v>
      </c>
      <c r="B165" s="7" t="s">
        <v>81</v>
      </c>
      <c r="C165" s="6"/>
      <c r="D165" s="6"/>
    </row>
    <row r="166" spans="1:4" ht="18" x14ac:dyDescent="0.25">
      <c r="A166" s="6" t="s">
        <v>276</v>
      </c>
      <c r="B166" s="7" t="s">
        <v>81</v>
      </c>
      <c r="C166" s="6"/>
      <c r="D166" s="6"/>
    </row>
    <row r="167" spans="1:4" ht="18" x14ac:dyDescent="0.25">
      <c r="A167" s="6" t="s">
        <v>277</v>
      </c>
      <c r="B167" s="7" t="s">
        <v>72</v>
      </c>
      <c r="C167" s="6"/>
      <c r="D167" s="6"/>
    </row>
    <row r="168" spans="1:4" ht="18" x14ac:dyDescent="0.25">
      <c r="A168" s="6" t="s">
        <v>278</v>
      </c>
      <c r="B168" s="7" t="s">
        <v>81</v>
      </c>
      <c r="C168" s="6"/>
      <c r="D168" s="6"/>
    </row>
    <row r="169" spans="1:4" ht="18" x14ac:dyDescent="0.25">
      <c r="A169" s="6" t="s">
        <v>279</v>
      </c>
      <c r="B169" s="7" t="s">
        <v>81</v>
      </c>
      <c r="C169" s="6"/>
      <c r="D169" s="6"/>
    </row>
    <row r="170" spans="1:4" ht="18" x14ac:dyDescent="0.25">
      <c r="A170" s="6" t="s">
        <v>280</v>
      </c>
      <c r="B170" s="7" t="s">
        <v>72</v>
      </c>
      <c r="C170" s="6"/>
      <c r="D170" s="6"/>
    </row>
    <row r="171" spans="1:4" ht="18" x14ac:dyDescent="0.25">
      <c r="A171" s="6" t="s">
        <v>281</v>
      </c>
      <c r="B171" s="7" t="s">
        <v>75</v>
      </c>
      <c r="C171" s="6"/>
      <c r="D171" s="6"/>
    </row>
    <row r="172" spans="1:4" ht="18" x14ac:dyDescent="0.25">
      <c r="A172" s="6" t="s">
        <v>282</v>
      </c>
      <c r="B172" s="7" t="s">
        <v>70</v>
      </c>
      <c r="C172" s="6"/>
      <c r="D172" s="6"/>
    </row>
    <row r="173" spans="1:4" ht="18" x14ac:dyDescent="0.25">
      <c r="A173" s="6" t="s">
        <v>283</v>
      </c>
      <c r="B173" s="7" t="s">
        <v>79</v>
      </c>
      <c r="C173" s="6"/>
      <c r="D173" s="6"/>
    </row>
    <row r="174" spans="1:4" ht="18" x14ac:dyDescent="0.25">
      <c r="A174" s="6" t="s">
        <v>284</v>
      </c>
      <c r="B174" s="7" t="s">
        <v>75</v>
      </c>
      <c r="C174" s="6"/>
      <c r="D174" s="6"/>
    </row>
    <row r="175" spans="1:4" ht="18" x14ac:dyDescent="0.25">
      <c r="A175" s="6" t="s">
        <v>285</v>
      </c>
      <c r="B175" s="7" t="s">
        <v>81</v>
      </c>
      <c r="C175" s="6"/>
      <c r="D175" s="6"/>
    </row>
    <row r="176" spans="1:4" ht="18" x14ac:dyDescent="0.25">
      <c r="A176" s="6" t="s">
        <v>286</v>
      </c>
      <c r="B176" s="7" t="s">
        <v>72</v>
      </c>
      <c r="C176" s="6"/>
      <c r="D176" s="6"/>
    </row>
    <row r="177" spans="1:4" ht="18" x14ac:dyDescent="0.25">
      <c r="A177" s="6" t="s">
        <v>287</v>
      </c>
      <c r="B177" s="7" t="s">
        <v>72</v>
      </c>
      <c r="C177" s="6"/>
      <c r="D177" s="6"/>
    </row>
    <row r="178" spans="1:4" ht="18" x14ac:dyDescent="0.25">
      <c r="A178" s="6" t="s">
        <v>288</v>
      </c>
      <c r="B178" s="7" t="s">
        <v>81</v>
      </c>
      <c r="C178" s="6"/>
      <c r="D178" s="6"/>
    </row>
    <row r="179" spans="1:4" ht="18" x14ac:dyDescent="0.25">
      <c r="A179" s="6" t="s">
        <v>289</v>
      </c>
      <c r="B179" s="7" t="s">
        <v>70</v>
      </c>
      <c r="C179" s="6"/>
      <c r="D179" s="6"/>
    </row>
    <row r="180" spans="1:4" ht="18" x14ac:dyDescent="0.25">
      <c r="A180" s="6" t="s">
        <v>290</v>
      </c>
      <c r="B180" s="7" t="s">
        <v>291</v>
      </c>
      <c r="C180" s="6"/>
      <c r="D180" s="6"/>
    </row>
    <row r="181" spans="1:4" ht="18" x14ac:dyDescent="0.25">
      <c r="A181" s="6" t="s">
        <v>292</v>
      </c>
      <c r="B181" s="7" t="s">
        <v>72</v>
      </c>
      <c r="C181" s="6"/>
      <c r="D181" s="6"/>
    </row>
    <row r="182" spans="1:4" ht="18" x14ac:dyDescent="0.25">
      <c r="A182" s="6" t="s">
        <v>293</v>
      </c>
      <c r="B182" s="7" t="s">
        <v>81</v>
      </c>
      <c r="C182" s="6"/>
      <c r="D182" s="6"/>
    </row>
    <row r="183" spans="1:4" ht="18" x14ac:dyDescent="0.25">
      <c r="A183" s="6" t="s">
        <v>294</v>
      </c>
      <c r="B183" s="7" t="s">
        <v>70</v>
      </c>
      <c r="C183" s="6"/>
      <c r="D183" s="6"/>
    </row>
    <row r="184" spans="1:4" ht="18" x14ac:dyDescent="0.25">
      <c r="A184" s="6" t="s">
        <v>295</v>
      </c>
      <c r="B184" s="7" t="s">
        <v>81</v>
      </c>
      <c r="C184" s="6"/>
      <c r="D184" s="6"/>
    </row>
    <row r="185" spans="1:4" ht="18" x14ac:dyDescent="0.25">
      <c r="A185" s="6" t="s">
        <v>296</v>
      </c>
      <c r="B185" s="7" t="s">
        <v>79</v>
      </c>
      <c r="C185" s="6"/>
      <c r="D185" s="6"/>
    </row>
    <row r="186" spans="1:4" ht="18" x14ac:dyDescent="0.25">
      <c r="A186" s="6" t="s">
        <v>297</v>
      </c>
      <c r="B186" s="7" t="s">
        <v>72</v>
      </c>
      <c r="C186" s="6"/>
      <c r="D186" s="6"/>
    </row>
    <row r="187" spans="1:4" x14ac:dyDescent="0.25">
      <c r="A187" t="s">
        <v>298</v>
      </c>
      <c r="B187">
        <v>0</v>
      </c>
    </row>
    <row r="188" spans="1:4" ht="18" x14ac:dyDescent="0.25">
      <c r="A188" s="6" t="s">
        <v>299</v>
      </c>
      <c r="B188" s="7" t="s">
        <v>72</v>
      </c>
      <c r="C188" s="6"/>
      <c r="D188" s="6"/>
    </row>
    <row r="189" spans="1:4" ht="18" x14ac:dyDescent="0.25">
      <c r="A189" s="6" t="s">
        <v>300</v>
      </c>
      <c r="B189" s="7" t="s">
        <v>96</v>
      </c>
      <c r="C189" s="6"/>
      <c r="D189" s="6"/>
    </row>
    <row r="190" spans="1:4" ht="18" x14ac:dyDescent="0.25">
      <c r="A190" s="6" t="s">
        <v>301</v>
      </c>
      <c r="B190" s="7" t="s">
        <v>72</v>
      </c>
      <c r="C190" s="6"/>
      <c r="D190" s="6"/>
    </row>
    <row r="191" spans="1:4" ht="18" x14ac:dyDescent="0.25">
      <c r="A191" s="6" t="s">
        <v>302</v>
      </c>
      <c r="B191" s="7" t="s">
        <v>79</v>
      </c>
      <c r="C191" s="6"/>
      <c r="D191" s="6"/>
    </row>
    <row r="192" spans="1:4" ht="18" x14ac:dyDescent="0.25">
      <c r="A192" s="6" t="s">
        <v>303</v>
      </c>
      <c r="B192" s="7" t="s">
        <v>81</v>
      </c>
      <c r="C192" s="6"/>
      <c r="D192" s="6"/>
    </row>
    <row r="193" spans="1:4" ht="18" x14ac:dyDescent="0.25">
      <c r="A193" s="6" t="s">
        <v>304</v>
      </c>
      <c r="B193" s="7" t="s">
        <v>79</v>
      </c>
      <c r="C193" s="6"/>
      <c r="D193" s="6"/>
    </row>
    <row r="194" spans="1:4" ht="18" x14ac:dyDescent="0.25">
      <c r="A194" s="6" t="s">
        <v>305</v>
      </c>
      <c r="B194" s="7" t="s">
        <v>72</v>
      </c>
      <c r="C194" s="6"/>
      <c r="D194" s="6"/>
    </row>
    <row r="195" spans="1:4" ht="18" x14ac:dyDescent="0.25">
      <c r="A195" s="6" t="s">
        <v>306</v>
      </c>
      <c r="B195" s="7" t="s">
        <v>72</v>
      </c>
      <c r="C195" s="6"/>
      <c r="D195" s="6"/>
    </row>
    <row r="196" spans="1:4" ht="18" x14ac:dyDescent="0.25">
      <c r="A196" s="6" t="s">
        <v>307</v>
      </c>
      <c r="B196" s="7" t="s">
        <v>72</v>
      </c>
      <c r="C196" s="6"/>
      <c r="D196" s="6"/>
    </row>
    <row r="197" spans="1:4" ht="18" x14ac:dyDescent="0.25">
      <c r="A197" s="6" t="s">
        <v>308</v>
      </c>
      <c r="B197" s="7" t="s">
        <v>81</v>
      </c>
      <c r="C197" s="6"/>
      <c r="D197" s="6"/>
    </row>
    <row r="198" spans="1:4" ht="18" x14ac:dyDescent="0.25">
      <c r="A198" s="6" t="s">
        <v>309</v>
      </c>
      <c r="B198" s="7" t="s">
        <v>72</v>
      </c>
      <c r="C198" s="6"/>
      <c r="D198" s="6"/>
    </row>
    <row r="199" spans="1:4" ht="18" x14ac:dyDescent="0.25">
      <c r="A199" s="6" t="s">
        <v>310</v>
      </c>
      <c r="B199" s="7" t="s">
        <v>72</v>
      </c>
      <c r="C199" s="6"/>
      <c r="D199" s="6"/>
    </row>
    <row r="200" spans="1:4" ht="18" x14ac:dyDescent="0.25">
      <c r="A200" s="6" t="s">
        <v>311</v>
      </c>
      <c r="B200" s="7" t="s">
        <v>79</v>
      </c>
      <c r="C200" s="6"/>
      <c r="D200" s="6"/>
    </row>
    <row r="201" spans="1:4" ht="18" x14ac:dyDescent="0.25">
      <c r="A201" s="6" t="s">
        <v>312</v>
      </c>
      <c r="B201" s="7" t="s">
        <v>72</v>
      </c>
      <c r="C201" s="6"/>
      <c r="D201" s="6"/>
    </row>
    <row r="202" spans="1:4" ht="18" x14ac:dyDescent="0.25">
      <c r="A202" s="6" t="s">
        <v>313</v>
      </c>
      <c r="B202" s="7" t="s">
        <v>81</v>
      </c>
      <c r="C202" s="6"/>
      <c r="D202" s="6"/>
    </row>
    <row r="203" spans="1:4" ht="18" x14ac:dyDescent="0.25">
      <c r="A203" s="6" t="s">
        <v>314</v>
      </c>
      <c r="B203" s="7" t="s">
        <v>81</v>
      </c>
      <c r="C203" s="6"/>
      <c r="D203" s="6"/>
    </row>
    <row r="204" spans="1:4" ht="18" x14ac:dyDescent="0.25">
      <c r="A204" s="6" t="s">
        <v>315</v>
      </c>
      <c r="B204" s="7" t="s">
        <v>81</v>
      </c>
      <c r="C204" s="6"/>
      <c r="D204" s="6"/>
    </row>
    <row r="205" spans="1:4" ht="18" x14ac:dyDescent="0.25">
      <c r="A205" s="6" t="s">
        <v>316</v>
      </c>
      <c r="B205" s="7" t="s">
        <v>79</v>
      </c>
      <c r="C205" s="6"/>
      <c r="D205" s="6"/>
    </row>
    <row r="206" spans="1:4" ht="18" x14ac:dyDescent="0.25">
      <c r="A206" s="6" t="s">
        <v>317</v>
      </c>
      <c r="B206" s="7" t="s">
        <v>79</v>
      </c>
      <c r="C206" s="6"/>
      <c r="D206" s="6"/>
    </row>
    <row r="207" spans="1:4" ht="18" x14ac:dyDescent="0.25">
      <c r="A207" s="6" t="s">
        <v>318</v>
      </c>
      <c r="B207" s="7" t="s">
        <v>72</v>
      </c>
      <c r="C207" s="6"/>
      <c r="D207" s="6"/>
    </row>
    <row r="208" spans="1:4" ht="18" x14ac:dyDescent="0.25">
      <c r="A208" s="6" t="s">
        <v>319</v>
      </c>
      <c r="B208" s="7" t="s">
        <v>79</v>
      </c>
      <c r="C208" s="6"/>
      <c r="D208" s="6"/>
    </row>
    <row r="209" spans="1:4" ht="18" x14ac:dyDescent="0.25">
      <c r="A209" s="6" t="s">
        <v>320</v>
      </c>
      <c r="B209" s="7" t="s">
        <v>81</v>
      </c>
      <c r="C209" s="6"/>
      <c r="D209" s="6"/>
    </row>
    <row r="210" spans="1:4" ht="18" x14ac:dyDescent="0.25">
      <c r="A210" s="6" t="s">
        <v>321</v>
      </c>
      <c r="B210" s="7" t="s">
        <v>81</v>
      </c>
      <c r="C210" s="6"/>
      <c r="D210" s="6"/>
    </row>
    <row r="211" spans="1:4" ht="18" x14ac:dyDescent="0.25">
      <c r="A211" s="6" t="s">
        <v>322</v>
      </c>
      <c r="B211" s="7" t="s">
        <v>79</v>
      </c>
      <c r="C211" s="6"/>
      <c r="D211" s="6"/>
    </row>
    <row r="212" spans="1:4" ht="18" x14ac:dyDescent="0.25">
      <c r="A212" s="6" t="s">
        <v>323</v>
      </c>
      <c r="B212" s="7" t="s">
        <v>81</v>
      </c>
      <c r="C212" s="6"/>
      <c r="D212" s="6"/>
    </row>
    <row r="213" spans="1:4" ht="18" x14ac:dyDescent="0.25">
      <c r="A213" s="6" t="s">
        <v>324</v>
      </c>
      <c r="B213" s="7" t="s">
        <v>81</v>
      </c>
      <c r="C213" s="6"/>
      <c r="D213" s="6"/>
    </row>
    <row r="214" spans="1:4" ht="18" x14ac:dyDescent="0.25">
      <c r="A214" s="6" t="s">
        <v>325</v>
      </c>
      <c r="B214" s="7" t="s">
        <v>81</v>
      </c>
      <c r="C214" s="6"/>
      <c r="D214" s="6"/>
    </row>
    <row r="215" spans="1:4" ht="18" x14ac:dyDescent="0.25">
      <c r="A215" s="6" t="s">
        <v>326</v>
      </c>
      <c r="B215" s="7" t="s">
        <v>81</v>
      </c>
      <c r="C215" s="6"/>
      <c r="D215" s="6"/>
    </row>
    <row r="216" spans="1:4" ht="18" x14ac:dyDescent="0.25">
      <c r="A216" s="6" t="s">
        <v>327</v>
      </c>
      <c r="B216" s="7" t="s">
        <v>75</v>
      </c>
      <c r="C216" s="6"/>
      <c r="D216" s="6"/>
    </row>
    <row r="217" spans="1:4" ht="18" x14ac:dyDescent="0.25">
      <c r="A217" s="6" t="s">
        <v>328</v>
      </c>
      <c r="B217" s="7" t="s">
        <v>79</v>
      </c>
      <c r="C217" s="6"/>
      <c r="D217" s="6"/>
    </row>
    <row r="218" spans="1:4" ht="18" x14ac:dyDescent="0.25">
      <c r="A218" s="6" t="s">
        <v>329</v>
      </c>
      <c r="B218" s="7" t="s">
        <v>79</v>
      </c>
      <c r="C218" s="6"/>
      <c r="D218" s="6"/>
    </row>
    <row r="219" spans="1:4" ht="18" x14ac:dyDescent="0.25">
      <c r="A219" s="6" t="s">
        <v>330</v>
      </c>
      <c r="B219" s="7" t="s">
        <v>73</v>
      </c>
      <c r="C219" s="6"/>
      <c r="D219" s="6"/>
    </row>
    <row r="220" spans="1:4" ht="18" x14ac:dyDescent="0.25">
      <c r="A220" s="6" t="s">
        <v>331</v>
      </c>
      <c r="B220" s="7" t="s">
        <v>79</v>
      </c>
      <c r="C220" s="6"/>
      <c r="D220" s="6"/>
    </row>
    <row r="221" spans="1:4" ht="18" x14ac:dyDescent="0.25">
      <c r="A221" s="6" t="s">
        <v>332</v>
      </c>
      <c r="B221" s="7" t="s">
        <v>81</v>
      </c>
      <c r="C221" s="6"/>
      <c r="D221" s="6"/>
    </row>
    <row r="222" spans="1:4" ht="18" x14ac:dyDescent="0.25">
      <c r="A222" s="6" t="s">
        <v>333</v>
      </c>
      <c r="B222" s="7" t="s">
        <v>81</v>
      </c>
      <c r="C222" s="6"/>
      <c r="D222" s="6"/>
    </row>
    <row r="223" spans="1:4" ht="18" x14ac:dyDescent="0.25">
      <c r="A223" s="6" t="s">
        <v>334</v>
      </c>
      <c r="B223" s="7" t="s">
        <v>75</v>
      </c>
      <c r="C223" s="6"/>
      <c r="D223" s="6"/>
    </row>
    <row r="224" spans="1:4" ht="18" x14ac:dyDescent="0.25">
      <c r="A224" s="6" t="s">
        <v>335</v>
      </c>
      <c r="B224" s="7" t="s">
        <v>79</v>
      </c>
      <c r="C224" s="6"/>
      <c r="D224" s="6"/>
    </row>
    <row r="225" spans="1:4" ht="18" x14ac:dyDescent="0.25">
      <c r="A225" s="6" t="s">
        <v>336</v>
      </c>
      <c r="B225" s="7" t="s">
        <v>81</v>
      </c>
      <c r="C225" s="6"/>
      <c r="D225" s="6"/>
    </row>
    <row r="226" spans="1:4" ht="18" x14ac:dyDescent="0.25">
      <c r="A226" s="6" t="s">
        <v>337</v>
      </c>
      <c r="B226" s="7" t="s">
        <v>79</v>
      </c>
      <c r="C226" s="6"/>
      <c r="D226" s="6"/>
    </row>
    <row r="227" spans="1:4" ht="18" x14ac:dyDescent="0.25">
      <c r="A227" s="6" t="s">
        <v>338</v>
      </c>
      <c r="B227" s="7" t="s">
        <v>96</v>
      </c>
      <c r="C227" s="6"/>
      <c r="D227" s="6"/>
    </row>
    <row r="228" spans="1:4" ht="18" x14ac:dyDescent="0.25">
      <c r="A228" s="6" t="s">
        <v>339</v>
      </c>
      <c r="B228" s="7" t="s">
        <v>81</v>
      </c>
      <c r="C228" s="6"/>
      <c r="D228" s="6"/>
    </row>
    <row r="229" spans="1:4" ht="18" x14ac:dyDescent="0.25">
      <c r="A229" s="6" t="s">
        <v>340</v>
      </c>
      <c r="B229" s="7" t="s">
        <v>81</v>
      </c>
      <c r="C229" s="6"/>
      <c r="D229" s="6"/>
    </row>
    <row r="230" spans="1:4" ht="18" x14ac:dyDescent="0.25">
      <c r="A230" s="6" t="s">
        <v>341</v>
      </c>
      <c r="B230" s="7" t="s">
        <v>81</v>
      </c>
      <c r="C230" s="6"/>
      <c r="D230" s="6"/>
    </row>
    <row r="231" spans="1:4" ht="18" x14ac:dyDescent="0.25">
      <c r="A231" s="6" t="s">
        <v>342</v>
      </c>
      <c r="B231" s="7" t="s">
        <v>81</v>
      </c>
      <c r="C231" s="6"/>
      <c r="D231" s="6"/>
    </row>
    <row r="232" spans="1:4" ht="18" x14ac:dyDescent="0.25">
      <c r="A232" s="6" t="s">
        <v>343</v>
      </c>
      <c r="B232" s="7" t="s">
        <v>72</v>
      </c>
      <c r="C232" s="6"/>
      <c r="D232" s="6"/>
    </row>
    <row r="233" spans="1:4" ht="18" x14ac:dyDescent="0.25">
      <c r="A233" s="6" t="s">
        <v>344</v>
      </c>
      <c r="B233" s="7" t="s">
        <v>81</v>
      </c>
      <c r="C233" s="6"/>
      <c r="D233" s="6"/>
    </row>
    <row r="234" spans="1:4" ht="18" x14ac:dyDescent="0.25">
      <c r="A234" s="6" t="s">
        <v>345</v>
      </c>
      <c r="B234" s="7" t="s">
        <v>79</v>
      </c>
      <c r="C234" s="6"/>
      <c r="D234" s="6"/>
    </row>
    <row r="235" spans="1:4" ht="18" x14ac:dyDescent="0.25">
      <c r="A235" s="6" t="s">
        <v>346</v>
      </c>
      <c r="B235" s="7" t="s">
        <v>81</v>
      </c>
      <c r="C235" s="6"/>
      <c r="D235" s="6"/>
    </row>
    <row r="236" spans="1:4" ht="18" x14ac:dyDescent="0.25">
      <c r="A236" s="6" t="s">
        <v>347</v>
      </c>
      <c r="B236" s="7" t="s">
        <v>81</v>
      </c>
      <c r="C236" s="6"/>
      <c r="D236" s="6"/>
    </row>
    <row r="237" spans="1:4" ht="18" x14ac:dyDescent="0.25">
      <c r="A237" s="6" t="s">
        <v>348</v>
      </c>
      <c r="B237" s="7" t="s">
        <v>72</v>
      </c>
      <c r="C237" s="6"/>
      <c r="D237" s="6"/>
    </row>
    <row r="238" spans="1:4" ht="18" x14ac:dyDescent="0.25">
      <c r="A238" s="6" t="s">
        <v>349</v>
      </c>
      <c r="B238" s="7" t="s">
        <v>81</v>
      </c>
      <c r="C238" s="6"/>
      <c r="D238" s="6"/>
    </row>
    <row r="239" spans="1:4" ht="18" x14ac:dyDescent="0.25">
      <c r="A239" s="6" t="s">
        <v>350</v>
      </c>
      <c r="B239" s="7" t="s">
        <v>72</v>
      </c>
      <c r="C239" s="6"/>
      <c r="D239" s="6"/>
    </row>
    <row r="240" spans="1:4" ht="18" x14ac:dyDescent="0.25">
      <c r="A240" s="6" t="s">
        <v>351</v>
      </c>
      <c r="B240" s="7" t="s">
        <v>79</v>
      </c>
      <c r="C240" s="6"/>
      <c r="D240" s="6"/>
    </row>
    <row r="241" spans="1:4" ht="18" x14ac:dyDescent="0.25">
      <c r="A241" s="6" t="s">
        <v>352</v>
      </c>
      <c r="B241" s="7" t="s">
        <v>72</v>
      </c>
      <c r="C241" s="6"/>
      <c r="D241" s="6"/>
    </row>
    <row r="242" spans="1:4" ht="18" x14ac:dyDescent="0.25">
      <c r="A242" s="6" t="s">
        <v>353</v>
      </c>
      <c r="B242" s="7" t="s">
        <v>72</v>
      </c>
      <c r="C242" s="6"/>
      <c r="D242" s="6"/>
    </row>
    <row r="243" spans="1:4" ht="18" x14ac:dyDescent="0.25">
      <c r="A243" s="6" t="s">
        <v>354</v>
      </c>
      <c r="B243" s="7" t="s">
        <v>79</v>
      </c>
      <c r="C243" s="6"/>
      <c r="D243" s="6"/>
    </row>
    <row r="244" spans="1:4" ht="18" x14ac:dyDescent="0.25">
      <c r="A244" s="6" t="s">
        <v>355</v>
      </c>
      <c r="B244" s="7" t="s">
        <v>72</v>
      </c>
      <c r="C244" s="6"/>
      <c r="D244" s="6"/>
    </row>
    <row r="245" spans="1:4" ht="18" x14ac:dyDescent="0.25">
      <c r="A245" s="6" t="s">
        <v>356</v>
      </c>
      <c r="B245" s="7" t="s">
        <v>75</v>
      </c>
      <c r="C245" s="6"/>
      <c r="D245" s="6"/>
    </row>
    <row r="246" spans="1:4" ht="18" x14ac:dyDescent="0.25">
      <c r="A246" s="6" t="s">
        <v>357</v>
      </c>
      <c r="B246" s="7" t="s">
        <v>75</v>
      </c>
      <c r="C246" s="6"/>
      <c r="D246" s="6"/>
    </row>
    <row r="247" spans="1:4" ht="18" x14ac:dyDescent="0.25">
      <c r="A247" s="6" t="s">
        <v>358</v>
      </c>
      <c r="B247" s="7" t="s">
        <v>81</v>
      </c>
      <c r="C247" s="6"/>
      <c r="D247" s="6"/>
    </row>
    <row r="248" spans="1:4" ht="18" x14ac:dyDescent="0.25">
      <c r="A248" s="6" t="s">
        <v>359</v>
      </c>
      <c r="B248" s="7" t="s">
        <v>81</v>
      </c>
      <c r="C248" s="6"/>
      <c r="D248" s="6"/>
    </row>
    <row r="249" spans="1:4" ht="18" x14ac:dyDescent="0.25">
      <c r="A249" s="6" t="s">
        <v>360</v>
      </c>
      <c r="B249" s="7" t="s">
        <v>81</v>
      </c>
      <c r="C249" s="6"/>
      <c r="D249" s="6"/>
    </row>
    <row r="250" spans="1:4" ht="18" x14ac:dyDescent="0.25">
      <c r="A250" s="6" t="s">
        <v>361</v>
      </c>
      <c r="B250" s="7" t="s">
        <v>72</v>
      </c>
      <c r="C250" s="6"/>
      <c r="D250" s="6"/>
    </row>
    <row r="251" spans="1:4" ht="18" x14ac:dyDescent="0.25">
      <c r="A251" s="6" t="s">
        <v>362</v>
      </c>
      <c r="B251" s="7" t="s">
        <v>79</v>
      </c>
      <c r="C251" s="6"/>
      <c r="D251" s="6"/>
    </row>
    <row r="252" spans="1:4" ht="18" x14ac:dyDescent="0.25">
      <c r="A252" s="6" t="s">
        <v>363</v>
      </c>
      <c r="B252" s="7" t="s">
        <v>72</v>
      </c>
      <c r="C252" s="6"/>
      <c r="D252" s="6"/>
    </row>
    <row r="253" spans="1:4" ht="18" x14ac:dyDescent="0.25">
      <c r="A253" s="6" t="s">
        <v>364</v>
      </c>
      <c r="B253" s="7" t="s">
        <v>72</v>
      </c>
      <c r="C253" s="6"/>
      <c r="D253" s="6"/>
    </row>
    <row r="254" spans="1:4" ht="18" x14ac:dyDescent="0.25">
      <c r="A254" s="6" t="s">
        <v>365</v>
      </c>
      <c r="B254" s="7" t="s">
        <v>79</v>
      </c>
      <c r="C254" s="6"/>
      <c r="D254" s="6"/>
    </row>
    <row r="255" spans="1:4" ht="18" x14ac:dyDescent="0.25">
      <c r="A255" s="6" t="s">
        <v>366</v>
      </c>
      <c r="B255" s="7" t="s">
        <v>79</v>
      </c>
      <c r="C255" s="6"/>
      <c r="D255" s="6"/>
    </row>
    <row r="256" spans="1:4" ht="18" x14ac:dyDescent="0.25">
      <c r="A256" s="6" t="s">
        <v>367</v>
      </c>
      <c r="B256" s="7" t="s">
        <v>81</v>
      </c>
      <c r="C256" s="6"/>
      <c r="D256" s="6"/>
    </row>
    <row r="257" spans="1:4" ht="18" x14ac:dyDescent="0.25">
      <c r="A257" s="6" t="s">
        <v>368</v>
      </c>
      <c r="B257" s="7" t="s">
        <v>79</v>
      </c>
      <c r="C257" s="6"/>
      <c r="D257" s="6"/>
    </row>
    <row r="258" spans="1:4" ht="18" x14ac:dyDescent="0.25">
      <c r="A258" s="6" t="s">
        <v>369</v>
      </c>
      <c r="B258" s="7" t="s">
        <v>75</v>
      </c>
      <c r="C258" s="6"/>
      <c r="D258" s="6"/>
    </row>
    <row r="259" spans="1:4" ht="18" x14ac:dyDescent="0.25">
      <c r="A259" s="6" t="s">
        <v>370</v>
      </c>
      <c r="B259" s="7" t="s">
        <v>371</v>
      </c>
      <c r="C259" s="6"/>
      <c r="D259" s="6"/>
    </row>
    <row r="260" spans="1:4" ht="18" x14ac:dyDescent="0.25">
      <c r="A260" s="6" t="s">
        <v>372</v>
      </c>
      <c r="B260" s="7" t="s">
        <v>72</v>
      </c>
      <c r="C260" s="6"/>
      <c r="D260" s="6"/>
    </row>
    <row r="261" spans="1:4" ht="18" x14ac:dyDescent="0.25">
      <c r="A261" s="6" t="s">
        <v>373</v>
      </c>
      <c r="B261" s="7" t="s">
        <v>79</v>
      </c>
      <c r="C261" s="6"/>
      <c r="D261" s="6"/>
    </row>
    <row r="262" spans="1:4" ht="18" x14ac:dyDescent="0.25">
      <c r="A262" s="6" t="s">
        <v>374</v>
      </c>
      <c r="B262" s="7" t="s">
        <v>81</v>
      </c>
      <c r="C262" s="6"/>
      <c r="D262" s="6"/>
    </row>
    <row r="263" spans="1:4" ht="18" x14ac:dyDescent="0.25">
      <c r="A263" s="6" t="s">
        <v>375</v>
      </c>
      <c r="B263" s="7" t="s">
        <v>70</v>
      </c>
      <c r="C263" s="6"/>
      <c r="D263" s="6"/>
    </row>
    <row r="264" spans="1:4" ht="18" x14ac:dyDescent="0.25">
      <c r="A264" s="6" t="s">
        <v>376</v>
      </c>
      <c r="B264" s="7" t="s">
        <v>79</v>
      </c>
      <c r="C264" s="6"/>
      <c r="D264" s="6"/>
    </row>
    <row r="265" spans="1:4" ht="18" x14ac:dyDescent="0.25">
      <c r="A265" s="6" t="s">
        <v>377</v>
      </c>
      <c r="B265" s="7" t="s">
        <v>72</v>
      </c>
      <c r="C265" s="6"/>
      <c r="D265" s="6"/>
    </row>
    <row r="266" spans="1:4" ht="18" x14ac:dyDescent="0.25">
      <c r="A266" s="6" t="s">
        <v>378</v>
      </c>
      <c r="B266" s="7" t="s">
        <v>79</v>
      </c>
      <c r="C266" s="6"/>
      <c r="D266" s="6"/>
    </row>
    <row r="267" spans="1:4" ht="18" x14ac:dyDescent="0.25">
      <c r="A267" s="6" t="s">
        <v>379</v>
      </c>
      <c r="B267" s="7" t="s">
        <v>79</v>
      </c>
      <c r="C267" s="6"/>
      <c r="D267" s="6"/>
    </row>
    <row r="268" spans="1:4" ht="18" x14ac:dyDescent="0.25">
      <c r="A268" s="6" t="s">
        <v>380</v>
      </c>
      <c r="B268" s="7" t="s">
        <v>75</v>
      </c>
      <c r="C268" s="6"/>
      <c r="D268" s="6"/>
    </row>
    <row r="269" spans="1:4" ht="18" x14ac:dyDescent="0.25">
      <c r="A269" s="6" t="s">
        <v>381</v>
      </c>
      <c r="B269" s="7" t="s">
        <v>81</v>
      </c>
      <c r="C269" s="6"/>
      <c r="D269" s="6"/>
    </row>
    <row r="270" spans="1:4" ht="18" x14ac:dyDescent="0.25">
      <c r="A270" s="6" t="s">
        <v>382</v>
      </c>
      <c r="B270" s="7" t="s">
        <v>81</v>
      </c>
      <c r="C270" s="6"/>
      <c r="D270" s="6"/>
    </row>
    <row r="271" spans="1:4" ht="18" x14ac:dyDescent="0.25">
      <c r="A271" s="6" t="s">
        <v>383</v>
      </c>
      <c r="B271" s="7" t="s">
        <v>81</v>
      </c>
      <c r="C271" s="6"/>
      <c r="D271" s="6"/>
    </row>
    <row r="272" spans="1:4" ht="18" x14ac:dyDescent="0.25">
      <c r="A272" s="6" t="s">
        <v>384</v>
      </c>
      <c r="B272" s="7" t="s">
        <v>81</v>
      </c>
      <c r="C272" s="6"/>
      <c r="D272" s="6"/>
    </row>
    <row r="273" spans="1:4" ht="18" x14ac:dyDescent="0.25">
      <c r="A273" s="6" t="s">
        <v>385</v>
      </c>
      <c r="B273" s="7" t="s">
        <v>79</v>
      </c>
      <c r="C273" s="6"/>
      <c r="D273" s="6"/>
    </row>
    <row r="274" spans="1:4" ht="18" x14ac:dyDescent="0.25">
      <c r="A274" s="6" t="s">
        <v>386</v>
      </c>
      <c r="B274" s="7" t="s">
        <v>96</v>
      </c>
      <c r="C274" s="6"/>
      <c r="D274" s="6"/>
    </row>
    <row r="275" spans="1:4" ht="18" x14ac:dyDescent="0.25">
      <c r="A275" s="6" t="s">
        <v>387</v>
      </c>
      <c r="B275" s="7" t="s">
        <v>72</v>
      </c>
      <c r="C275" s="6"/>
      <c r="D275" s="6"/>
    </row>
    <row r="276" spans="1:4" ht="18" x14ac:dyDescent="0.25">
      <c r="A276" s="6" t="s">
        <v>388</v>
      </c>
      <c r="B276" s="7" t="s">
        <v>81</v>
      </c>
      <c r="C276" s="6"/>
      <c r="D276" s="6"/>
    </row>
    <row r="277" spans="1:4" ht="18" x14ac:dyDescent="0.25">
      <c r="A277" s="6" t="s">
        <v>389</v>
      </c>
      <c r="B277" s="7" t="s">
        <v>79</v>
      </c>
      <c r="C277" s="6"/>
      <c r="D277" s="6"/>
    </row>
    <row r="278" spans="1:4" ht="18" x14ac:dyDescent="0.25">
      <c r="A278" s="6" t="s">
        <v>390</v>
      </c>
      <c r="B278" s="7" t="s">
        <v>79</v>
      </c>
      <c r="C278" s="6"/>
      <c r="D278" s="6"/>
    </row>
    <row r="279" spans="1:4" ht="18" x14ac:dyDescent="0.25">
      <c r="A279" s="6" t="s">
        <v>391</v>
      </c>
      <c r="B279" s="7" t="s">
        <v>81</v>
      </c>
      <c r="C279" s="6"/>
      <c r="D279" s="6"/>
    </row>
    <row r="280" spans="1:4" ht="18" x14ac:dyDescent="0.25">
      <c r="A280" s="6" t="s">
        <v>392</v>
      </c>
      <c r="B280" s="7" t="s">
        <v>81</v>
      </c>
      <c r="C280" s="6"/>
      <c r="D280" s="6"/>
    </row>
    <row r="281" spans="1:4" ht="18" x14ac:dyDescent="0.25">
      <c r="A281" s="6" t="s">
        <v>393</v>
      </c>
      <c r="B281" s="7" t="s">
        <v>79</v>
      </c>
      <c r="C281" s="6"/>
      <c r="D281" s="6"/>
    </row>
    <row r="282" spans="1:4" ht="18" x14ac:dyDescent="0.25">
      <c r="A282" s="6" t="s">
        <v>394</v>
      </c>
      <c r="B282" s="7" t="s">
        <v>81</v>
      </c>
      <c r="C282" s="6"/>
      <c r="D282" s="6"/>
    </row>
    <row r="283" spans="1:4" ht="18" x14ac:dyDescent="0.25">
      <c r="A283" s="6" t="s">
        <v>395</v>
      </c>
      <c r="B283" s="7" t="s">
        <v>75</v>
      </c>
      <c r="C283" s="6"/>
      <c r="D283" s="6"/>
    </row>
    <row r="284" spans="1:4" ht="18" x14ac:dyDescent="0.25">
      <c r="A284" s="6" t="s">
        <v>396</v>
      </c>
      <c r="B284" s="7" t="s">
        <v>79</v>
      </c>
      <c r="C284" s="6"/>
      <c r="D284" s="6"/>
    </row>
    <row r="285" spans="1:4" ht="18" x14ac:dyDescent="0.25">
      <c r="A285" s="6" t="s">
        <v>397</v>
      </c>
      <c r="B285" s="7" t="s">
        <v>79</v>
      </c>
      <c r="C285" s="6"/>
      <c r="D285" s="6"/>
    </row>
    <row r="286" spans="1:4" ht="18" x14ac:dyDescent="0.25">
      <c r="A286" s="6" t="s">
        <v>398</v>
      </c>
      <c r="B286" s="7" t="s">
        <v>399</v>
      </c>
      <c r="C286" s="6"/>
      <c r="D286" s="6"/>
    </row>
    <row r="287" spans="1:4" ht="18" x14ac:dyDescent="0.25">
      <c r="A287" s="6" t="s">
        <v>400</v>
      </c>
      <c r="B287" s="7" t="s">
        <v>79</v>
      </c>
      <c r="C287" s="6"/>
      <c r="D287" s="6"/>
    </row>
    <row r="288" spans="1:4" ht="18" x14ac:dyDescent="0.25">
      <c r="A288" s="6" t="s">
        <v>401</v>
      </c>
      <c r="B288" s="7" t="s">
        <v>81</v>
      </c>
      <c r="C288" s="6"/>
      <c r="D288" s="6"/>
    </row>
    <row r="289" spans="1:4" ht="18" x14ac:dyDescent="0.25">
      <c r="A289" s="6" t="s">
        <v>402</v>
      </c>
      <c r="B289" s="7" t="s">
        <v>72</v>
      </c>
      <c r="C289" s="6"/>
      <c r="D289" s="6"/>
    </row>
    <row r="290" spans="1:4" ht="18" x14ac:dyDescent="0.25">
      <c r="A290" s="6" t="s">
        <v>403</v>
      </c>
      <c r="B290" s="7" t="s">
        <v>81</v>
      </c>
      <c r="C290" s="6"/>
      <c r="D290" s="6"/>
    </row>
    <row r="291" spans="1:4" ht="18" x14ac:dyDescent="0.25">
      <c r="A291" s="6" t="s">
        <v>404</v>
      </c>
      <c r="B291" s="7" t="s">
        <v>81</v>
      </c>
      <c r="C291" s="6"/>
      <c r="D291" s="6"/>
    </row>
    <row r="292" spans="1:4" ht="18" x14ac:dyDescent="0.25">
      <c r="A292" s="6" t="s">
        <v>405</v>
      </c>
      <c r="B292" s="7" t="s">
        <v>81</v>
      </c>
      <c r="C292" s="6"/>
      <c r="D292" s="6"/>
    </row>
    <row r="293" spans="1:4" ht="18" x14ac:dyDescent="0.25">
      <c r="A293" s="6" t="s">
        <v>406</v>
      </c>
      <c r="B293" s="7" t="s">
        <v>72</v>
      </c>
      <c r="C293" s="6"/>
      <c r="D293" s="6"/>
    </row>
    <row r="294" spans="1:4" ht="18" x14ac:dyDescent="0.25">
      <c r="A294" s="6" t="s">
        <v>407</v>
      </c>
      <c r="B294" s="7" t="s">
        <v>79</v>
      </c>
      <c r="C294" s="6"/>
      <c r="D294" s="6"/>
    </row>
    <row r="295" spans="1:4" ht="18" x14ac:dyDescent="0.25">
      <c r="A295" s="6" t="s">
        <v>408</v>
      </c>
      <c r="B295" s="7" t="s">
        <v>72</v>
      </c>
      <c r="C295" s="6"/>
      <c r="D295" s="6"/>
    </row>
    <row r="296" spans="1:4" ht="18" x14ac:dyDescent="0.25">
      <c r="A296" s="6" t="s">
        <v>409</v>
      </c>
      <c r="B296" s="7" t="s">
        <v>81</v>
      </c>
      <c r="C296" s="6"/>
      <c r="D296" s="6"/>
    </row>
    <row r="297" spans="1:4" ht="18" x14ac:dyDescent="0.25">
      <c r="A297" s="6" t="s">
        <v>410</v>
      </c>
      <c r="B297" s="7" t="s">
        <v>79</v>
      </c>
      <c r="C297" s="6"/>
      <c r="D297" s="6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Souscription">
    <tabColor theme="7" tint="0.39997558519241921"/>
  </sheetPr>
  <dimension ref="A1:N1"/>
  <sheetViews>
    <sheetView workbookViewId="0">
      <selection activeCell="L21" sqref="L21"/>
    </sheetView>
  </sheetViews>
  <sheetFormatPr baseColWidth="10" defaultRowHeight="15" x14ac:dyDescent="0.25"/>
  <cols>
    <col min="3" max="3" width="13.85546875" customWidth="1"/>
    <col min="4" max="4" width="19.5703125" customWidth="1"/>
    <col min="5" max="5" width="14.5703125" customWidth="1"/>
    <col min="6" max="6" width="22.85546875" customWidth="1"/>
    <col min="7" max="7" width="16.5703125" customWidth="1"/>
    <col min="8" max="8" width="22.5703125" customWidth="1"/>
    <col min="9" max="9" width="16.28515625" customWidth="1"/>
    <col min="10" max="10" width="12.140625" customWidth="1"/>
    <col min="11" max="11" width="18.7109375" customWidth="1"/>
    <col min="12" max="12" width="14" customWidth="1"/>
    <col min="13" max="13" width="20" customWidth="1"/>
    <col min="14" max="14" width="22.42578125" customWidth="1"/>
  </cols>
  <sheetData>
    <row r="1" spans="1:14" x14ac:dyDescent="0.25">
      <c r="A1" t="s">
        <v>15</v>
      </c>
      <c r="B1" t="s">
        <v>4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Reglement">
    <tabColor theme="1" tint="0.499984740745262"/>
  </sheetPr>
  <dimension ref="A1:L275"/>
  <sheetViews>
    <sheetView tabSelected="1" topLeftCell="E1" workbookViewId="0">
      <selection activeCell="K6" sqref="K6"/>
    </sheetView>
  </sheetViews>
  <sheetFormatPr baseColWidth="10" defaultRowHeight="15" x14ac:dyDescent="0.25"/>
  <cols>
    <col min="1" max="1" width="20.28515625" bestFit="1" customWidth="1"/>
    <col min="2" max="2" width="9.28515625" bestFit="1" customWidth="1"/>
    <col min="3" max="3" width="20.140625" bestFit="1" customWidth="1"/>
    <col min="4" max="4" width="13.85546875" customWidth="1"/>
    <col min="5" max="5" width="17.28515625" bestFit="1" customWidth="1"/>
    <col min="6" max="6" width="15.85546875" bestFit="1" customWidth="1"/>
    <col min="7" max="7" width="13.85546875" customWidth="1"/>
    <col min="8" max="8" width="16.28515625" bestFit="1" customWidth="1"/>
    <col min="9" max="9" width="19" bestFit="1" customWidth="1"/>
    <col min="12" max="12" width="11.5703125" customWidth="1"/>
  </cols>
  <sheetData>
    <row r="1" spans="1:12" x14ac:dyDescent="0.25">
      <c r="A1" t="s">
        <v>28</v>
      </c>
      <c r="B1" t="s">
        <v>4</v>
      </c>
      <c r="C1" t="s">
        <v>16</v>
      </c>
      <c r="D1" t="s">
        <v>34</v>
      </c>
      <c r="E1" t="s">
        <v>29</v>
      </c>
      <c r="F1" t="s">
        <v>30</v>
      </c>
      <c r="G1" t="s">
        <v>31</v>
      </c>
      <c r="H1" t="s">
        <v>32</v>
      </c>
      <c r="I1" t="s">
        <v>33</v>
      </c>
      <c r="J1" t="s">
        <v>13</v>
      </c>
    </row>
    <row r="2" spans="1:12" x14ac:dyDescent="0.25">
      <c r="A2" t="s">
        <v>414</v>
      </c>
      <c r="B2" t="s">
        <v>411</v>
      </c>
      <c r="C2" t="s">
        <v>112</v>
      </c>
      <c r="D2" t="s">
        <v>415</v>
      </c>
      <c r="E2">
        <v>15000</v>
      </c>
      <c r="G2">
        <v>15000</v>
      </c>
      <c r="H2" t="s">
        <v>56</v>
      </c>
      <c r="I2">
        <v>2025</v>
      </c>
      <c r="J2" t="s">
        <v>68</v>
      </c>
      <c r="L2" s="42" t="s">
        <v>68</v>
      </c>
    </row>
    <row r="3" spans="1:12" x14ac:dyDescent="0.25">
      <c r="A3" t="s">
        <v>416</v>
      </c>
      <c r="B3" t="s">
        <v>411</v>
      </c>
      <c r="C3" t="s">
        <v>113</v>
      </c>
      <c r="D3" t="s">
        <v>415</v>
      </c>
      <c r="E3">
        <v>16000</v>
      </c>
      <c r="G3">
        <v>16000</v>
      </c>
      <c r="H3" t="s">
        <v>56</v>
      </c>
      <c r="I3">
        <v>2025</v>
      </c>
      <c r="J3" t="s">
        <v>68</v>
      </c>
    </row>
    <row r="4" spans="1:12" x14ac:dyDescent="0.25">
      <c r="A4" t="s">
        <v>417</v>
      </c>
      <c r="B4" t="s">
        <v>411</v>
      </c>
      <c r="C4" t="s">
        <v>114</v>
      </c>
      <c r="D4" t="s">
        <v>415</v>
      </c>
      <c r="E4">
        <v>25000</v>
      </c>
      <c r="G4">
        <v>25000</v>
      </c>
      <c r="H4" t="s">
        <v>56</v>
      </c>
      <c r="I4">
        <v>2025</v>
      </c>
      <c r="J4" t="s">
        <v>68</v>
      </c>
    </row>
    <row r="5" spans="1:12" x14ac:dyDescent="0.25">
      <c r="A5" t="s">
        <v>418</v>
      </c>
      <c r="B5" t="s">
        <v>411</v>
      </c>
      <c r="C5" t="s">
        <v>115</v>
      </c>
      <c r="D5" t="s">
        <v>415</v>
      </c>
      <c r="E5">
        <v>25000</v>
      </c>
      <c r="G5">
        <v>25000</v>
      </c>
      <c r="H5" t="s">
        <v>56</v>
      </c>
      <c r="I5">
        <v>2025</v>
      </c>
      <c r="J5" t="s">
        <v>68</v>
      </c>
    </row>
    <row r="6" spans="1:12" x14ac:dyDescent="0.25">
      <c r="A6" t="s">
        <v>419</v>
      </c>
      <c r="B6" t="s">
        <v>411</v>
      </c>
      <c r="C6" t="s">
        <v>116</v>
      </c>
      <c r="D6" t="s">
        <v>415</v>
      </c>
      <c r="E6">
        <v>50000</v>
      </c>
      <c r="G6">
        <v>50000</v>
      </c>
      <c r="H6" t="s">
        <v>56</v>
      </c>
      <c r="I6">
        <v>2025</v>
      </c>
      <c r="J6" t="s">
        <v>68</v>
      </c>
    </row>
    <row r="7" spans="1:12" x14ac:dyDescent="0.25">
      <c r="A7" t="s">
        <v>420</v>
      </c>
      <c r="B7" t="s">
        <v>411</v>
      </c>
      <c r="C7" t="s">
        <v>118</v>
      </c>
      <c r="D7" t="s">
        <v>415</v>
      </c>
      <c r="E7">
        <v>60000</v>
      </c>
      <c r="G7">
        <v>60000</v>
      </c>
      <c r="H7" t="s">
        <v>56</v>
      </c>
      <c r="I7">
        <v>2025</v>
      </c>
      <c r="J7" t="s">
        <v>68</v>
      </c>
    </row>
    <row r="8" spans="1:12" x14ac:dyDescent="0.25">
      <c r="A8" t="s">
        <v>421</v>
      </c>
      <c r="B8" t="s">
        <v>411</v>
      </c>
      <c r="C8" t="s">
        <v>119</v>
      </c>
      <c r="D8" t="s">
        <v>415</v>
      </c>
      <c r="E8">
        <v>15000</v>
      </c>
      <c r="G8">
        <v>15000</v>
      </c>
      <c r="H8" t="s">
        <v>56</v>
      </c>
      <c r="I8">
        <v>2025</v>
      </c>
      <c r="J8" t="s">
        <v>68</v>
      </c>
    </row>
    <row r="9" spans="1:12" x14ac:dyDescent="0.25">
      <c r="A9" t="s">
        <v>422</v>
      </c>
      <c r="B9" t="s">
        <v>411</v>
      </c>
      <c r="C9" t="s">
        <v>120</v>
      </c>
      <c r="D9" t="s">
        <v>415</v>
      </c>
      <c r="E9">
        <v>25000</v>
      </c>
      <c r="G9">
        <v>25000</v>
      </c>
      <c r="H9" t="s">
        <v>56</v>
      </c>
      <c r="I9">
        <v>2025</v>
      </c>
      <c r="J9" t="s">
        <v>68</v>
      </c>
    </row>
    <row r="10" spans="1:12" x14ac:dyDescent="0.25">
      <c r="A10" t="s">
        <v>423</v>
      </c>
      <c r="B10" t="s">
        <v>411</v>
      </c>
      <c r="C10" t="s">
        <v>121</v>
      </c>
      <c r="D10" t="s">
        <v>424</v>
      </c>
      <c r="E10">
        <v>25000</v>
      </c>
      <c r="G10">
        <v>25000</v>
      </c>
      <c r="I10">
        <v>2025</v>
      </c>
      <c r="J10" t="s">
        <v>68</v>
      </c>
    </row>
    <row r="11" spans="1:12" x14ac:dyDescent="0.25">
      <c r="A11" t="s">
        <v>425</v>
      </c>
      <c r="B11" t="s">
        <v>411</v>
      </c>
      <c r="C11" t="s">
        <v>122</v>
      </c>
      <c r="D11" t="s">
        <v>424</v>
      </c>
      <c r="E11">
        <v>27000</v>
      </c>
      <c r="G11">
        <v>27000</v>
      </c>
      <c r="I11">
        <v>2025</v>
      </c>
      <c r="J11" t="s">
        <v>68</v>
      </c>
    </row>
    <row r="12" spans="1:12" x14ac:dyDescent="0.25">
      <c r="A12" t="s">
        <v>426</v>
      </c>
      <c r="B12" t="s">
        <v>411</v>
      </c>
      <c r="C12" t="s">
        <v>123</v>
      </c>
      <c r="D12" t="s">
        <v>424</v>
      </c>
      <c r="E12">
        <v>25000</v>
      </c>
      <c r="G12">
        <v>25000</v>
      </c>
      <c r="I12">
        <v>2025</v>
      </c>
      <c r="J12" t="s">
        <v>68</v>
      </c>
    </row>
    <row r="13" spans="1:12" x14ac:dyDescent="0.25">
      <c r="A13" t="s">
        <v>427</v>
      </c>
      <c r="B13" t="s">
        <v>411</v>
      </c>
      <c r="C13" t="s">
        <v>124</v>
      </c>
      <c r="D13" t="s">
        <v>424</v>
      </c>
      <c r="E13">
        <v>25000</v>
      </c>
      <c r="G13">
        <v>25000</v>
      </c>
      <c r="I13">
        <v>2025</v>
      </c>
      <c r="J13" t="s">
        <v>68</v>
      </c>
    </row>
    <row r="14" spans="1:12" x14ac:dyDescent="0.25">
      <c r="A14" t="s">
        <v>428</v>
      </c>
      <c r="B14" t="s">
        <v>411</v>
      </c>
      <c r="C14" t="s">
        <v>125</v>
      </c>
      <c r="D14" t="s">
        <v>424</v>
      </c>
      <c r="E14">
        <v>26000</v>
      </c>
      <c r="G14">
        <v>26000</v>
      </c>
      <c r="I14">
        <v>2025</v>
      </c>
      <c r="J14" t="s">
        <v>68</v>
      </c>
    </row>
    <row r="15" spans="1:12" x14ac:dyDescent="0.25">
      <c r="A15" t="s">
        <v>429</v>
      </c>
      <c r="B15" t="s">
        <v>411</v>
      </c>
      <c r="C15" t="s">
        <v>126</v>
      </c>
      <c r="D15" t="s">
        <v>424</v>
      </c>
      <c r="E15">
        <v>26000</v>
      </c>
      <c r="G15">
        <v>26000</v>
      </c>
      <c r="I15">
        <v>2025</v>
      </c>
      <c r="J15" t="s">
        <v>68</v>
      </c>
    </row>
    <row r="16" spans="1:12" x14ac:dyDescent="0.25">
      <c r="A16" t="s">
        <v>430</v>
      </c>
      <c r="B16" t="s">
        <v>411</v>
      </c>
      <c r="C16" t="s">
        <v>127</v>
      </c>
      <c r="D16" t="s">
        <v>424</v>
      </c>
      <c r="E16">
        <v>25000</v>
      </c>
      <c r="G16">
        <v>25000</v>
      </c>
      <c r="I16">
        <v>2025</v>
      </c>
      <c r="J16" t="s">
        <v>68</v>
      </c>
    </row>
    <row r="17" spans="1:10" x14ac:dyDescent="0.25">
      <c r="A17" t="s">
        <v>431</v>
      </c>
      <c r="B17" t="s">
        <v>411</v>
      </c>
      <c r="C17" t="s">
        <v>128</v>
      </c>
      <c r="D17" t="s">
        <v>424</v>
      </c>
      <c r="E17">
        <v>27000</v>
      </c>
      <c r="G17">
        <v>27000</v>
      </c>
      <c r="I17">
        <v>2025</v>
      </c>
      <c r="J17" t="s">
        <v>68</v>
      </c>
    </row>
    <row r="18" spans="1:10" x14ac:dyDescent="0.25">
      <c r="A18" t="s">
        <v>432</v>
      </c>
      <c r="B18" t="s">
        <v>411</v>
      </c>
      <c r="C18" t="s">
        <v>129</v>
      </c>
      <c r="D18" t="s">
        <v>424</v>
      </c>
      <c r="E18">
        <v>18000</v>
      </c>
      <c r="G18">
        <v>18000</v>
      </c>
      <c r="I18">
        <v>2025</v>
      </c>
      <c r="J18" t="s">
        <v>68</v>
      </c>
    </row>
    <row r="19" spans="1:10" x14ac:dyDescent="0.25">
      <c r="A19" t="s">
        <v>433</v>
      </c>
      <c r="B19" t="s">
        <v>411</v>
      </c>
      <c r="C19" t="s">
        <v>130</v>
      </c>
      <c r="D19" t="s">
        <v>424</v>
      </c>
      <c r="E19">
        <v>10000</v>
      </c>
      <c r="G19">
        <v>10000</v>
      </c>
      <c r="I19">
        <v>2025</v>
      </c>
      <c r="J19" t="s">
        <v>68</v>
      </c>
    </row>
    <row r="20" spans="1:10" x14ac:dyDescent="0.25">
      <c r="A20" t="s">
        <v>434</v>
      </c>
      <c r="B20" t="s">
        <v>411</v>
      </c>
      <c r="C20" t="s">
        <v>131</v>
      </c>
      <c r="D20" t="s">
        <v>424</v>
      </c>
      <c r="E20">
        <v>18000</v>
      </c>
      <c r="G20">
        <v>18000</v>
      </c>
      <c r="I20">
        <v>2025</v>
      </c>
      <c r="J20" t="s">
        <v>68</v>
      </c>
    </row>
    <row r="21" spans="1:10" x14ac:dyDescent="0.25">
      <c r="A21" t="s">
        <v>435</v>
      </c>
      <c r="B21" t="s">
        <v>411</v>
      </c>
      <c r="C21" t="s">
        <v>132</v>
      </c>
      <c r="D21" t="s">
        <v>424</v>
      </c>
      <c r="E21">
        <v>18000</v>
      </c>
      <c r="G21">
        <v>18000</v>
      </c>
      <c r="I21">
        <v>2025</v>
      </c>
      <c r="J21" t="s">
        <v>68</v>
      </c>
    </row>
    <row r="22" spans="1:10" x14ac:dyDescent="0.25">
      <c r="A22" t="s">
        <v>436</v>
      </c>
      <c r="B22" t="s">
        <v>411</v>
      </c>
      <c r="C22" t="s">
        <v>134</v>
      </c>
      <c r="D22" t="s">
        <v>424</v>
      </c>
      <c r="E22">
        <v>10000</v>
      </c>
      <c r="G22">
        <v>10000</v>
      </c>
      <c r="I22">
        <v>2025</v>
      </c>
      <c r="J22" t="s">
        <v>68</v>
      </c>
    </row>
    <row r="23" spans="1:10" x14ac:dyDescent="0.25">
      <c r="A23" t="s">
        <v>437</v>
      </c>
      <c r="B23" t="s">
        <v>411</v>
      </c>
      <c r="C23" t="s">
        <v>135</v>
      </c>
      <c r="D23" t="s">
        <v>424</v>
      </c>
      <c r="E23">
        <v>10000</v>
      </c>
      <c r="G23">
        <v>10000</v>
      </c>
      <c r="I23">
        <v>2025</v>
      </c>
      <c r="J23" t="s">
        <v>68</v>
      </c>
    </row>
    <row r="24" spans="1:10" x14ac:dyDescent="0.25">
      <c r="A24" t="s">
        <v>438</v>
      </c>
      <c r="B24" t="s">
        <v>411</v>
      </c>
      <c r="C24" t="s">
        <v>136</v>
      </c>
      <c r="D24" t="s">
        <v>424</v>
      </c>
      <c r="E24">
        <v>11000</v>
      </c>
      <c r="G24">
        <v>11000</v>
      </c>
      <c r="I24">
        <v>2025</v>
      </c>
      <c r="J24" t="s">
        <v>68</v>
      </c>
    </row>
    <row r="25" spans="1:10" x14ac:dyDescent="0.25">
      <c r="A25" t="s">
        <v>439</v>
      </c>
      <c r="B25" t="s">
        <v>411</v>
      </c>
      <c r="C25" t="s">
        <v>137</v>
      </c>
      <c r="D25" t="s">
        <v>424</v>
      </c>
      <c r="E25">
        <v>10000</v>
      </c>
      <c r="G25">
        <v>10000</v>
      </c>
      <c r="I25">
        <v>2025</v>
      </c>
      <c r="J25" t="s">
        <v>68</v>
      </c>
    </row>
    <row r="26" spans="1:10" x14ac:dyDescent="0.25">
      <c r="A26" t="s">
        <v>440</v>
      </c>
      <c r="B26" t="s">
        <v>411</v>
      </c>
      <c r="C26" t="s">
        <v>138</v>
      </c>
      <c r="D26" t="s">
        <v>424</v>
      </c>
      <c r="E26">
        <v>18000</v>
      </c>
      <c r="G26">
        <v>18000</v>
      </c>
      <c r="I26">
        <v>2025</v>
      </c>
      <c r="J26" t="s">
        <v>68</v>
      </c>
    </row>
    <row r="27" spans="1:10" x14ac:dyDescent="0.25">
      <c r="A27" t="s">
        <v>441</v>
      </c>
      <c r="B27" t="s">
        <v>411</v>
      </c>
      <c r="C27" t="s">
        <v>139</v>
      </c>
      <c r="D27" t="s">
        <v>424</v>
      </c>
      <c r="E27">
        <v>10000</v>
      </c>
      <c r="G27">
        <v>10000</v>
      </c>
      <c r="I27">
        <v>2025</v>
      </c>
      <c r="J27" t="s">
        <v>68</v>
      </c>
    </row>
    <row r="28" spans="1:10" x14ac:dyDescent="0.25">
      <c r="A28" t="s">
        <v>442</v>
      </c>
      <c r="B28" t="s">
        <v>411</v>
      </c>
      <c r="C28" t="s">
        <v>140</v>
      </c>
      <c r="D28" t="s">
        <v>424</v>
      </c>
      <c r="E28">
        <v>18000</v>
      </c>
      <c r="G28">
        <v>18000</v>
      </c>
      <c r="I28">
        <v>2025</v>
      </c>
      <c r="J28" t="s">
        <v>68</v>
      </c>
    </row>
    <row r="29" spans="1:10" x14ac:dyDescent="0.25">
      <c r="A29" t="s">
        <v>443</v>
      </c>
      <c r="B29" t="s">
        <v>411</v>
      </c>
      <c r="C29" t="s">
        <v>141</v>
      </c>
      <c r="D29" t="s">
        <v>424</v>
      </c>
      <c r="E29">
        <v>7000</v>
      </c>
      <c r="G29">
        <v>7000</v>
      </c>
      <c r="I29">
        <v>2025</v>
      </c>
      <c r="J29" t="s">
        <v>68</v>
      </c>
    </row>
    <row r="30" spans="1:10" x14ac:dyDescent="0.25">
      <c r="A30" t="s">
        <v>444</v>
      </c>
      <c r="B30" t="s">
        <v>411</v>
      </c>
      <c r="C30" t="s">
        <v>144</v>
      </c>
      <c r="D30" t="s">
        <v>424</v>
      </c>
      <c r="E30">
        <v>40000</v>
      </c>
      <c r="G30">
        <v>40000</v>
      </c>
      <c r="I30">
        <v>2025</v>
      </c>
      <c r="J30" t="s">
        <v>68</v>
      </c>
    </row>
    <row r="31" spans="1:10" x14ac:dyDescent="0.25">
      <c r="A31" t="s">
        <v>445</v>
      </c>
      <c r="B31" t="s">
        <v>411</v>
      </c>
      <c r="C31" t="s">
        <v>145</v>
      </c>
      <c r="D31" t="s">
        <v>424</v>
      </c>
      <c r="E31">
        <v>25000</v>
      </c>
      <c r="G31">
        <v>25000</v>
      </c>
      <c r="I31">
        <v>2025</v>
      </c>
      <c r="J31" t="s">
        <v>68</v>
      </c>
    </row>
    <row r="32" spans="1:10" x14ac:dyDescent="0.25">
      <c r="A32" t="s">
        <v>446</v>
      </c>
      <c r="B32" t="s">
        <v>411</v>
      </c>
      <c r="C32" t="s">
        <v>146</v>
      </c>
      <c r="D32" t="s">
        <v>424</v>
      </c>
      <c r="E32">
        <v>25000</v>
      </c>
      <c r="G32">
        <v>25000</v>
      </c>
      <c r="I32">
        <v>2025</v>
      </c>
      <c r="J32" t="s">
        <v>68</v>
      </c>
    </row>
    <row r="33" spans="1:10" x14ac:dyDescent="0.25">
      <c r="A33" t="s">
        <v>447</v>
      </c>
      <c r="B33" t="s">
        <v>411</v>
      </c>
      <c r="C33" t="s">
        <v>147</v>
      </c>
      <c r="D33" t="s">
        <v>424</v>
      </c>
      <c r="E33">
        <v>25000</v>
      </c>
      <c r="G33">
        <v>25000</v>
      </c>
      <c r="I33">
        <v>2025</v>
      </c>
      <c r="J33" t="s">
        <v>68</v>
      </c>
    </row>
    <row r="34" spans="1:10" x14ac:dyDescent="0.25">
      <c r="A34" t="s">
        <v>448</v>
      </c>
      <c r="B34" t="s">
        <v>411</v>
      </c>
      <c r="C34" t="s">
        <v>148</v>
      </c>
      <c r="D34" t="s">
        <v>424</v>
      </c>
      <c r="E34">
        <v>15000</v>
      </c>
      <c r="G34">
        <v>15000</v>
      </c>
      <c r="I34">
        <v>2025</v>
      </c>
      <c r="J34" t="s">
        <v>68</v>
      </c>
    </row>
    <row r="35" spans="1:10" x14ac:dyDescent="0.25">
      <c r="A35" t="s">
        <v>449</v>
      </c>
      <c r="B35" t="s">
        <v>411</v>
      </c>
      <c r="C35" t="s">
        <v>80</v>
      </c>
      <c r="D35" t="s">
        <v>424</v>
      </c>
      <c r="E35">
        <v>10000</v>
      </c>
      <c r="G35">
        <v>10000</v>
      </c>
      <c r="I35">
        <v>2025</v>
      </c>
      <c r="J35" t="s">
        <v>68</v>
      </c>
    </row>
    <row r="36" spans="1:10" x14ac:dyDescent="0.25">
      <c r="A36" t="s">
        <v>450</v>
      </c>
      <c r="B36" t="s">
        <v>411</v>
      </c>
      <c r="C36" t="s">
        <v>149</v>
      </c>
      <c r="D36" t="s">
        <v>424</v>
      </c>
      <c r="E36">
        <v>13000</v>
      </c>
      <c r="G36">
        <v>13000</v>
      </c>
      <c r="I36">
        <v>2025</v>
      </c>
      <c r="J36" t="s">
        <v>68</v>
      </c>
    </row>
    <row r="37" spans="1:10" x14ac:dyDescent="0.25">
      <c r="A37" t="s">
        <v>451</v>
      </c>
      <c r="B37" t="s">
        <v>411</v>
      </c>
      <c r="C37" t="s">
        <v>150</v>
      </c>
      <c r="D37" t="s">
        <v>424</v>
      </c>
      <c r="E37">
        <v>20000</v>
      </c>
      <c r="G37">
        <v>20000</v>
      </c>
      <c r="I37">
        <v>2025</v>
      </c>
      <c r="J37" t="s">
        <v>68</v>
      </c>
    </row>
    <row r="38" spans="1:10" x14ac:dyDescent="0.25">
      <c r="A38" t="s">
        <v>452</v>
      </c>
      <c r="B38" t="s">
        <v>411</v>
      </c>
      <c r="C38" t="s">
        <v>151</v>
      </c>
      <c r="D38" t="s">
        <v>424</v>
      </c>
      <c r="E38">
        <v>30000</v>
      </c>
      <c r="G38">
        <v>30000</v>
      </c>
      <c r="I38">
        <v>2025</v>
      </c>
      <c r="J38" t="s">
        <v>68</v>
      </c>
    </row>
    <row r="39" spans="1:10" x14ac:dyDescent="0.25">
      <c r="A39" t="s">
        <v>453</v>
      </c>
      <c r="B39" t="s">
        <v>411</v>
      </c>
      <c r="C39" t="s">
        <v>152</v>
      </c>
      <c r="D39" t="s">
        <v>424</v>
      </c>
      <c r="E39">
        <v>60000</v>
      </c>
      <c r="G39">
        <v>60000</v>
      </c>
      <c r="I39">
        <v>2025</v>
      </c>
      <c r="J39" t="s">
        <v>68</v>
      </c>
    </row>
    <row r="40" spans="1:10" x14ac:dyDescent="0.25">
      <c r="A40" t="s">
        <v>454</v>
      </c>
      <c r="B40" t="s">
        <v>411</v>
      </c>
      <c r="C40" t="s">
        <v>153</v>
      </c>
      <c r="D40" t="s">
        <v>424</v>
      </c>
      <c r="E40">
        <v>20000</v>
      </c>
      <c r="G40">
        <v>20000</v>
      </c>
      <c r="I40">
        <v>2025</v>
      </c>
      <c r="J40" t="s">
        <v>68</v>
      </c>
    </row>
    <row r="41" spans="1:10" x14ac:dyDescent="0.25">
      <c r="A41" t="s">
        <v>455</v>
      </c>
      <c r="B41" t="s">
        <v>411</v>
      </c>
      <c r="C41" t="s">
        <v>154</v>
      </c>
      <c r="D41" t="s">
        <v>424</v>
      </c>
      <c r="E41">
        <v>20000</v>
      </c>
      <c r="G41">
        <v>20000</v>
      </c>
      <c r="I41">
        <v>2025</v>
      </c>
      <c r="J41" t="s">
        <v>68</v>
      </c>
    </row>
    <row r="42" spans="1:10" x14ac:dyDescent="0.25">
      <c r="A42" t="s">
        <v>456</v>
      </c>
      <c r="B42" t="s">
        <v>411</v>
      </c>
      <c r="C42" t="s">
        <v>155</v>
      </c>
      <c r="D42" t="s">
        <v>424</v>
      </c>
      <c r="E42">
        <v>20000</v>
      </c>
      <c r="G42">
        <v>20000</v>
      </c>
      <c r="I42">
        <v>2025</v>
      </c>
      <c r="J42" t="s">
        <v>68</v>
      </c>
    </row>
    <row r="43" spans="1:10" x14ac:dyDescent="0.25">
      <c r="A43" t="s">
        <v>457</v>
      </c>
      <c r="B43" t="s">
        <v>411</v>
      </c>
      <c r="C43" t="s">
        <v>156</v>
      </c>
      <c r="D43" t="s">
        <v>424</v>
      </c>
      <c r="E43">
        <v>20000</v>
      </c>
      <c r="G43">
        <v>20000</v>
      </c>
      <c r="I43">
        <v>2025</v>
      </c>
      <c r="J43" t="s">
        <v>68</v>
      </c>
    </row>
    <row r="44" spans="1:10" x14ac:dyDescent="0.25">
      <c r="A44" t="s">
        <v>458</v>
      </c>
      <c r="B44" t="s">
        <v>411</v>
      </c>
      <c r="C44" t="s">
        <v>157</v>
      </c>
      <c r="D44" t="s">
        <v>424</v>
      </c>
      <c r="E44">
        <v>20000</v>
      </c>
      <c r="G44">
        <v>20000</v>
      </c>
      <c r="I44">
        <v>2025</v>
      </c>
      <c r="J44" t="s">
        <v>68</v>
      </c>
    </row>
    <row r="45" spans="1:10" x14ac:dyDescent="0.25">
      <c r="A45" t="s">
        <v>459</v>
      </c>
      <c r="B45" t="s">
        <v>411</v>
      </c>
      <c r="C45" t="s">
        <v>158</v>
      </c>
      <c r="D45" t="s">
        <v>424</v>
      </c>
      <c r="E45">
        <v>20000</v>
      </c>
      <c r="G45">
        <v>20000</v>
      </c>
      <c r="I45">
        <v>2025</v>
      </c>
      <c r="J45" t="s">
        <v>68</v>
      </c>
    </row>
    <row r="46" spans="1:10" x14ac:dyDescent="0.25">
      <c r="A46" t="s">
        <v>460</v>
      </c>
      <c r="B46" t="s">
        <v>411</v>
      </c>
      <c r="C46" t="s">
        <v>159</v>
      </c>
      <c r="D46" t="s">
        <v>424</v>
      </c>
      <c r="E46">
        <v>23000</v>
      </c>
      <c r="G46">
        <v>23000</v>
      </c>
      <c r="I46">
        <v>2025</v>
      </c>
      <c r="J46" t="s">
        <v>68</v>
      </c>
    </row>
    <row r="47" spans="1:10" x14ac:dyDescent="0.25">
      <c r="A47" t="s">
        <v>461</v>
      </c>
      <c r="B47" t="s">
        <v>411</v>
      </c>
      <c r="C47" t="s">
        <v>160</v>
      </c>
      <c r="D47" t="s">
        <v>424</v>
      </c>
      <c r="E47">
        <v>23000</v>
      </c>
      <c r="G47">
        <v>23000</v>
      </c>
      <c r="I47">
        <v>2025</v>
      </c>
      <c r="J47" t="s">
        <v>68</v>
      </c>
    </row>
    <row r="48" spans="1:10" x14ac:dyDescent="0.25">
      <c r="A48" t="s">
        <v>462</v>
      </c>
      <c r="B48" t="s">
        <v>411</v>
      </c>
      <c r="C48" t="s">
        <v>161</v>
      </c>
      <c r="D48" t="s">
        <v>424</v>
      </c>
      <c r="E48">
        <v>23000</v>
      </c>
      <c r="G48">
        <v>23000</v>
      </c>
      <c r="I48">
        <v>2025</v>
      </c>
      <c r="J48" t="s">
        <v>68</v>
      </c>
    </row>
    <row r="49" spans="1:10" x14ac:dyDescent="0.25">
      <c r="A49" t="s">
        <v>463</v>
      </c>
      <c r="B49" t="s">
        <v>411</v>
      </c>
      <c r="C49" t="s">
        <v>162</v>
      </c>
      <c r="D49" t="s">
        <v>424</v>
      </c>
      <c r="E49">
        <v>11000</v>
      </c>
      <c r="G49">
        <v>11000</v>
      </c>
      <c r="I49">
        <v>2025</v>
      </c>
      <c r="J49" t="s">
        <v>68</v>
      </c>
    </row>
    <row r="50" spans="1:10" x14ac:dyDescent="0.25">
      <c r="A50" t="s">
        <v>464</v>
      </c>
      <c r="B50" t="s">
        <v>411</v>
      </c>
      <c r="C50" t="s">
        <v>163</v>
      </c>
      <c r="D50" t="s">
        <v>424</v>
      </c>
      <c r="E50">
        <v>11500</v>
      </c>
      <c r="G50">
        <v>11500</v>
      </c>
      <c r="I50">
        <v>2025</v>
      </c>
      <c r="J50" t="s">
        <v>68</v>
      </c>
    </row>
    <row r="51" spans="1:10" x14ac:dyDescent="0.25">
      <c r="A51" t="s">
        <v>465</v>
      </c>
      <c r="B51" t="s">
        <v>411</v>
      </c>
      <c r="C51" t="s">
        <v>164</v>
      </c>
      <c r="D51" t="s">
        <v>424</v>
      </c>
      <c r="E51">
        <v>23000</v>
      </c>
      <c r="G51">
        <v>23000</v>
      </c>
      <c r="I51">
        <v>2025</v>
      </c>
      <c r="J51" t="s">
        <v>68</v>
      </c>
    </row>
    <row r="52" spans="1:10" x14ac:dyDescent="0.25">
      <c r="A52" t="s">
        <v>466</v>
      </c>
      <c r="B52" t="s">
        <v>411</v>
      </c>
      <c r="C52" t="s">
        <v>166</v>
      </c>
      <c r="D52" t="s">
        <v>424</v>
      </c>
      <c r="E52">
        <v>23000</v>
      </c>
      <c r="G52">
        <v>23000</v>
      </c>
      <c r="I52">
        <v>2025</v>
      </c>
      <c r="J52" t="s">
        <v>68</v>
      </c>
    </row>
    <row r="53" spans="1:10" x14ac:dyDescent="0.25">
      <c r="A53" t="s">
        <v>467</v>
      </c>
      <c r="B53" t="s">
        <v>411</v>
      </c>
      <c r="C53" t="s">
        <v>167</v>
      </c>
      <c r="D53" t="s">
        <v>424</v>
      </c>
      <c r="E53">
        <v>23000</v>
      </c>
      <c r="G53">
        <v>23000</v>
      </c>
      <c r="I53">
        <v>2025</v>
      </c>
      <c r="J53" t="s">
        <v>68</v>
      </c>
    </row>
    <row r="54" spans="1:10" x14ac:dyDescent="0.25">
      <c r="A54" t="s">
        <v>468</v>
      </c>
      <c r="B54" t="s">
        <v>411</v>
      </c>
      <c r="C54" t="s">
        <v>168</v>
      </c>
      <c r="D54" t="s">
        <v>424</v>
      </c>
      <c r="E54">
        <v>23000</v>
      </c>
      <c r="G54">
        <v>23000</v>
      </c>
      <c r="I54">
        <v>2025</v>
      </c>
      <c r="J54" t="s">
        <v>68</v>
      </c>
    </row>
    <row r="55" spans="1:10" x14ac:dyDescent="0.25">
      <c r="A55" t="s">
        <v>469</v>
      </c>
      <c r="B55" t="s">
        <v>411</v>
      </c>
      <c r="C55" t="s">
        <v>170</v>
      </c>
      <c r="D55" t="s">
        <v>424</v>
      </c>
      <c r="E55">
        <v>23000</v>
      </c>
      <c r="G55">
        <v>23000</v>
      </c>
      <c r="I55">
        <v>2025</v>
      </c>
      <c r="J55" t="s">
        <v>68</v>
      </c>
    </row>
    <row r="56" spans="1:10" x14ac:dyDescent="0.25">
      <c r="A56" t="s">
        <v>470</v>
      </c>
      <c r="B56" t="s">
        <v>411</v>
      </c>
      <c r="C56" t="s">
        <v>171</v>
      </c>
      <c r="D56" t="s">
        <v>424</v>
      </c>
      <c r="E56">
        <v>15000</v>
      </c>
      <c r="G56">
        <v>15000</v>
      </c>
      <c r="I56">
        <v>2025</v>
      </c>
      <c r="J56" t="s">
        <v>68</v>
      </c>
    </row>
    <row r="57" spans="1:10" x14ac:dyDescent="0.25">
      <c r="A57" t="s">
        <v>471</v>
      </c>
      <c r="B57" t="s">
        <v>411</v>
      </c>
      <c r="C57" t="s">
        <v>172</v>
      </c>
      <c r="D57" t="s">
        <v>424</v>
      </c>
      <c r="E57">
        <v>45000</v>
      </c>
      <c r="G57">
        <v>45000</v>
      </c>
      <c r="I57">
        <v>2025</v>
      </c>
      <c r="J57" t="s">
        <v>68</v>
      </c>
    </row>
    <row r="58" spans="1:10" x14ac:dyDescent="0.25">
      <c r="A58" t="s">
        <v>472</v>
      </c>
      <c r="B58" t="s">
        <v>411</v>
      </c>
      <c r="C58" t="s">
        <v>173</v>
      </c>
      <c r="D58" t="s">
        <v>424</v>
      </c>
      <c r="E58">
        <v>45000</v>
      </c>
      <c r="G58">
        <v>45000</v>
      </c>
      <c r="I58">
        <v>2025</v>
      </c>
      <c r="J58" t="s">
        <v>68</v>
      </c>
    </row>
    <row r="59" spans="1:10" x14ac:dyDescent="0.25">
      <c r="A59" t="s">
        <v>473</v>
      </c>
      <c r="B59" t="s">
        <v>411</v>
      </c>
      <c r="C59" t="s">
        <v>174</v>
      </c>
      <c r="D59" t="s">
        <v>424</v>
      </c>
      <c r="E59">
        <v>45000</v>
      </c>
      <c r="G59">
        <v>45000</v>
      </c>
      <c r="I59">
        <v>2025</v>
      </c>
      <c r="J59" t="s">
        <v>68</v>
      </c>
    </row>
    <row r="60" spans="1:10" x14ac:dyDescent="0.25">
      <c r="A60" t="s">
        <v>474</v>
      </c>
      <c r="B60" t="s">
        <v>411</v>
      </c>
      <c r="C60" t="s">
        <v>175</v>
      </c>
      <c r="D60" t="s">
        <v>424</v>
      </c>
      <c r="E60">
        <v>60000</v>
      </c>
      <c r="G60">
        <v>60000</v>
      </c>
      <c r="I60">
        <v>2025</v>
      </c>
      <c r="J60" t="s">
        <v>68</v>
      </c>
    </row>
    <row r="61" spans="1:10" x14ac:dyDescent="0.25">
      <c r="A61" t="s">
        <v>475</v>
      </c>
      <c r="B61" t="s">
        <v>411</v>
      </c>
      <c r="C61" t="s">
        <v>176</v>
      </c>
      <c r="D61" t="s">
        <v>424</v>
      </c>
      <c r="E61">
        <v>16000</v>
      </c>
      <c r="G61">
        <v>16000</v>
      </c>
      <c r="I61">
        <v>2025</v>
      </c>
      <c r="J61" t="s">
        <v>68</v>
      </c>
    </row>
    <row r="62" spans="1:10" x14ac:dyDescent="0.25">
      <c r="A62" t="s">
        <v>476</v>
      </c>
      <c r="B62" t="s">
        <v>411</v>
      </c>
      <c r="C62" t="s">
        <v>177</v>
      </c>
      <c r="D62" t="s">
        <v>424</v>
      </c>
      <c r="E62">
        <v>16000</v>
      </c>
      <c r="G62">
        <v>16000</v>
      </c>
      <c r="I62">
        <v>2025</v>
      </c>
      <c r="J62" t="s">
        <v>68</v>
      </c>
    </row>
    <row r="63" spans="1:10" x14ac:dyDescent="0.25">
      <c r="A63" t="s">
        <v>477</v>
      </c>
      <c r="B63" t="s">
        <v>411</v>
      </c>
      <c r="C63" t="s">
        <v>178</v>
      </c>
      <c r="D63" t="s">
        <v>424</v>
      </c>
      <c r="E63">
        <v>21000</v>
      </c>
      <c r="G63">
        <v>21000</v>
      </c>
      <c r="I63">
        <v>2025</v>
      </c>
      <c r="J63" t="s">
        <v>68</v>
      </c>
    </row>
    <row r="64" spans="1:10" x14ac:dyDescent="0.25">
      <c r="A64" t="s">
        <v>478</v>
      </c>
      <c r="B64" t="s">
        <v>411</v>
      </c>
      <c r="C64" t="s">
        <v>179</v>
      </c>
      <c r="D64" t="s">
        <v>424</v>
      </c>
      <c r="E64">
        <v>16000</v>
      </c>
      <c r="G64">
        <v>16000</v>
      </c>
      <c r="I64">
        <v>2025</v>
      </c>
      <c r="J64" t="s">
        <v>68</v>
      </c>
    </row>
    <row r="65" spans="1:10" x14ac:dyDescent="0.25">
      <c r="A65" t="s">
        <v>479</v>
      </c>
      <c r="B65" t="s">
        <v>411</v>
      </c>
      <c r="C65" t="s">
        <v>180</v>
      </c>
      <c r="D65" t="s">
        <v>424</v>
      </c>
      <c r="E65">
        <v>16000</v>
      </c>
      <c r="G65">
        <v>16000</v>
      </c>
      <c r="I65">
        <v>2025</v>
      </c>
      <c r="J65" t="s">
        <v>68</v>
      </c>
    </row>
    <row r="66" spans="1:10" x14ac:dyDescent="0.25">
      <c r="A66" t="s">
        <v>480</v>
      </c>
      <c r="B66" t="s">
        <v>411</v>
      </c>
      <c r="C66" t="s">
        <v>181</v>
      </c>
      <c r="D66" t="s">
        <v>424</v>
      </c>
      <c r="E66">
        <v>17000</v>
      </c>
      <c r="G66">
        <v>17000</v>
      </c>
      <c r="I66">
        <v>2025</v>
      </c>
      <c r="J66" t="s">
        <v>68</v>
      </c>
    </row>
    <row r="67" spans="1:10" x14ac:dyDescent="0.25">
      <c r="A67" t="s">
        <v>481</v>
      </c>
      <c r="B67" t="s">
        <v>411</v>
      </c>
      <c r="C67" t="s">
        <v>182</v>
      </c>
      <c r="D67" t="s">
        <v>424</v>
      </c>
      <c r="E67">
        <v>16000</v>
      </c>
      <c r="G67">
        <v>16000</v>
      </c>
      <c r="I67">
        <v>2025</v>
      </c>
      <c r="J67" t="s">
        <v>68</v>
      </c>
    </row>
    <row r="68" spans="1:10" x14ac:dyDescent="0.25">
      <c r="A68" t="s">
        <v>482</v>
      </c>
      <c r="B68" t="s">
        <v>411</v>
      </c>
      <c r="C68" t="s">
        <v>183</v>
      </c>
      <c r="D68" t="s">
        <v>424</v>
      </c>
      <c r="E68">
        <v>16000</v>
      </c>
      <c r="G68">
        <v>16000</v>
      </c>
      <c r="I68">
        <v>2025</v>
      </c>
      <c r="J68" t="s">
        <v>68</v>
      </c>
    </row>
    <row r="69" spans="1:10" x14ac:dyDescent="0.25">
      <c r="A69" t="s">
        <v>483</v>
      </c>
      <c r="B69" t="s">
        <v>411</v>
      </c>
      <c r="C69" t="s">
        <v>185</v>
      </c>
      <c r="D69" t="s">
        <v>424</v>
      </c>
      <c r="E69">
        <v>21000</v>
      </c>
      <c r="G69">
        <v>21000</v>
      </c>
      <c r="I69">
        <v>2025</v>
      </c>
      <c r="J69" t="s">
        <v>68</v>
      </c>
    </row>
    <row r="70" spans="1:10" x14ac:dyDescent="0.25">
      <c r="A70" t="s">
        <v>484</v>
      </c>
      <c r="B70" t="s">
        <v>411</v>
      </c>
      <c r="C70" t="s">
        <v>186</v>
      </c>
      <c r="D70" t="s">
        <v>424</v>
      </c>
      <c r="E70">
        <v>16000</v>
      </c>
      <c r="G70">
        <v>16000</v>
      </c>
      <c r="I70">
        <v>2025</v>
      </c>
      <c r="J70" t="s">
        <v>68</v>
      </c>
    </row>
    <row r="71" spans="1:10" x14ac:dyDescent="0.25">
      <c r="A71" t="s">
        <v>485</v>
      </c>
      <c r="B71" t="s">
        <v>411</v>
      </c>
      <c r="C71" t="s">
        <v>187</v>
      </c>
      <c r="D71" t="s">
        <v>424</v>
      </c>
      <c r="E71">
        <v>20000</v>
      </c>
      <c r="G71">
        <v>20000</v>
      </c>
      <c r="I71">
        <v>2025</v>
      </c>
      <c r="J71" t="s">
        <v>68</v>
      </c>
    </row>
    <row r="72" spans="1:10" x14ac:dyDescent="0.25">
      <c r="A72" t="s">
        <v>486</v>
      </c>
      <c r="B72" t="s">
        <v>411</v>
      </c>
      <c r="C72" t="s">
        <v>189</v>
      </c>
      <c r="D72" t="s">
        <v>424</v>
      </c>
      <c r="E72">
        <v>15000</v>
      </c>
      <c r="G72">
        <v>15000</v>
      </c>
      <c r="I72">
        <v>2025</v>
      </c>
      <c r="J72" t="s">
        <v>68</v>
      </c>
    </row>
    <row r="73" spans="1:10" x14ac:dyDescent="0.25">
      <c r="A73" t="s">
        <v>487</v>
      </c>
      <c r="B73" t="s">
        <v>411</v>
      </c>
      <c r="C73" t="s">
        <v>190</v>
      </c>
      <c r="D73" t="s">
        <v>424</v>
      </c>
      <c r="E73">
        <v>15000</v>
      </c>
      <c r="G73">
        <v>15000</v>
      </c>
      <c r="I73">
        <v>2025</v>
      </c>
      <c r="J73" t="s">
        <v>68</v>
      </c>
    </row>
    <row r="74" spans="1:10" x14ac:dyDescent="0.25">
      <c r="A74" t="s">
        <v>488</v>
      </c>
      <c r="B74" t="s">
        <v>411</v>
      </c>
      <c r="C74" t="s">
        <v>191</v>
      </c>
      <c r="D74" t="s">
        <v>424</v>
      </c>
      <c r="E74">
        <v>15000</v>
      </c>
      <c r="G74">
        <v>15000</v>
      </c>
      <c r="I74">
        <v>2025</v>
      </c>
      <c r="J74" t="s">
        <v>68</v>
      </c>
    </row>
    <row r="75" spans="1:10" x14ac:dyDescent="0.25">
      <c r="A75" t="s">
        <v>489</v>
      </c>
      <c r="B75" t="s">
        <v>411</v>
      </c>
      <c r="C75" t="s">
        <v>192</v>
      </c>
      <c r="D75" t="s">
        <v>424</v>
      </c>
      <c r="E75">
        <v>15000</v>
      </c>
      <c r="G75">
        <v>15000</v>
      </c>
      <c r="I75">
        <v>2025</v>
      </c>
      <c r="J75" t="s">
        <v>68</v>
      </c>
    </row>
    <row r="76" spans="1:10" x14ac:dyDescent="0.25">
      <c r="A76" t="s">
        <v>490</v>
      </c>
      <c r="B76" t="s">
        <v>411</v>
      </c>
      <c r="C76" t="s">
        <v>193</v>
      </c>
      <c r="D76" t="s">
        <v>424</v>
      </c>
      <c r="E76">
        <v>15000</v>
      </c>
      <c r="G76">
        <v>15000</v>
      </c>
      <c r="I76">
        <v>2025</v>
      </c>
      <c r="J76" t="s">
        <v>68</v>
      </c>
    </row>
    <row r="77" spans="1:10" x14ac:dyDescent="0.25">
      <c r="A77" t="s">
        <v>491</v>
      </c>
      <c r="B77" t="s">
        <v>411</v>
      </c>
      <c r="C77" t="s">
        <v>194</v>
      </c>
      <c r="D77" t="s">
        <v>424</v>
      </c>
      <c r="E77">
        <v>15000</v>
      </c>
      <c r="G77">
        <v>15000</v>
      </c>
      <c r="I77">
        <v>2025</v>
      </c>
      <c r="J77" t="s">
        <v>68</v>
      </c>
    </row>
    <row r="78" spans="1:10" x14ac:dyDescent="0.25">
      <c r="A78" t="s">
        <v>492</v>
      </c>
      <c r="B78" t="s">
        <v>411</v>
      </c>
      <c r="C78" t="s">
        <v>195</v>
      </c>
      <c r="D78" t="s">
        <v>424</v>
      </c>
      <c r="E78">
        <v>15000</v>
      </c>
      <c r="G78">
        <v>15000</v>
      </c>
      <c r="I78">
        <v>2025</v>
      </c>
      <c r="J78" t="s">
        <v>68</v>
      </c>
    </row>
    <row r="79" spans="1:10" x14ac:dyDescent="0.25">
      <c r="A79" t="s">
        <v>493</v>
      </c>
      <c r="B79" t="s">
        <v>411</v>
      </c>
      <c r="C79" t="s">
        <v>196</v>
      </c>
      <c r="D79" t="s">
        <v>424</v>
      </c>
      <c r="E79">
        <v>15000</v>
      </c>
      <c r="G79">
        <v>15000</v>
      </c>
      <c r="I79">
        <v>2025</v>
      </c>
      <c r="J79" t="s">
        <v>68</v>
      </c>
    </row>
    <row r="80" spans="1:10" x14ac:dyDescent="0.25">
      <c r="A80" t="s">
        <v>494</v>
      </c>
      <c r="B80" t="s">
        <v>411</v>
      </c>
      <c r="C80" t="s">
        <v>197</v>
      </c>
      <c r="D80" t="s">
        <v>424</v>
      </c>
      <c r="E80">
        <v>15000</v>
      </c>
      <c r="G80">
        <v>15000</v>
      </c>
      <c r="I80">
        <v>2025</v>
      </c>
      <c r="J80" t="s">
        <v>68</v>
      </c>
    </row>
    <row r="81" spans="1:10" x14ac:dyDescent="0.25">
      <c r="A81" t="s">
        <v>495</v>
      </c>
      <c r="B81" t="s">
        <v>411</v>
      </c>
      <c r="C81" t="s">
        <v>198</v>
      </c>
      <c r="D81" t="s">
        <v>424</v>
      </c>
      <c r="E81">
        <v>15000</v>
      </c>
      <c r="G81">
        <v>15000</v>
      </c>
      <c r="I81">
        <v>2025</v>
      </c>
      <c r="J81" t="s">
        <v>68</v>
      </c>
    </row>
    <row r="82" spans="1:10" x14ac:dyDescent="0.25">
      <c r="A82" t="s">
        <v>496</v>
      </c>
      <c r="B82" t="s">
        <v>411</v>
      </c>
      <c r="C82" t="s">
        <v>199</v>
      </c>
      <c r="D82" t="s">
        <v>424</v>
      </c>
      <c r="E82">
        <v>15000</v>
      </c>
      <c r="G82">
        <v>15000</v>
      </c>
      <c r="I82">
        <v>2025</v>
      </c>
      <c r="J82" t="s">
        <v>68</v>
      </c>
    </row>
    <row r="83" spans="1:10" x14ac:dyDescent="0.25">
      <c r="A83" t="s">
        <v>497</v>
      </c>
      <c r="B83" t="s">
        <v>411</v>
      </c>
      <c r="C83" t="s">
        <v>200</v>
      </c>
      <c r="D83" t="s">
        <v>424</v>
      </c>
      <c r="E83">
        <v>15000</v>
      </c>
      <c r="G83">
        <v>15000</v>
      </c>
      <c r="I83">
        <v>2025</v>
      </c>
      <c r="J83" t="s">
        <v>68</v>
      </c>
    </row>
    <row r="84" spans="1:10" x14ac:dyDescent="0.25">
      <c r="A84" t="s">
        <v>498</v>
      </c>
      <c r="B84" t="s">
        <v>411</v>
      </c>
      <c r="C84" t="s">
        <v>201</v>
      </c>
      <c r="D84" t="s">
        <v>424</v>
      </c>
      <c r="E84">
        <v>15000</v>
      </c>
      <c r="G84">
        <v>15000</v>
      </c>
      <c r="I84">
        <v>2025</v>
      </c>
      <c r="J84" t="s">
        <v>68</v>
      </c>
    </row>
    <row r="85" spans="1:10" x14ac:dyDescent="0.25">
      <c r="A85" t="s">
        <v>499</v>
      </c>
      <c r="B85" t="s">
        <v>411</v>
      </c>
      <c r="C85" t="s">
        <v>202</v>
      </c>
      <c r="D85" t="s">
        <v>424</v>
      </c>
      <c r="E85">
        <v>15000</v>
      </c>
      <c r="G85">
        <v>15000</v>
      </c>
      <c r="I85">
        <v>2025</v>
      </c>
      <c r="J85" t="s">
        <v>68</v>
      </c>
    </row>
    <row r="86" spans="1:10" x14ac:dyDescent="0.25">
      <c r="A86" t="s">
        <v>500</v>
      </c>
      <c r="B86" t="s">
        <v>411</v>
      </c>
      <c r="C86" t="s">
        <v>203</v>
      </c>
      <c r="D86" t="s">
        <v>424</v>
      </c>
      <c r="E86">
        <v>15000</v>
      </c>
      <c r="G86">
        <v>15000</v>
      </c>
      <c r="I86">
        <v>2025</v>
      </c>
      <c r="J86" t="s">
        <v>68</v>
      </c>
    </row>
    <row r="87" spans="1:10" x14ac:dyDescent="0.25">
      <c r="A87" t="s">
        <v>501</v>
      </c>
      <c r="B87" t="s">
        <v>411</v>
      </c>
      <c r="C87" t="s">
        <v>204</v>
      </c>
      <c r="D87" t="s">
        <v>424</v>
      </c>
      <c r="E87">
        <v>20000</v>
      </c>
      <c r="G87">
        <v>20000</v>
      </c>
      <c r="I87">
        <v>2025</v>
      </c>
      <c r="J87" t="s">
        <v>68</v>
      </c>
    </row>
    <row r="88" spans="1:10" x14ac:dyDescent="0.25">
      <c r="A88" t="s">
        <v>502</v>
      </c>
      <c r="B88" t="s">
        <v>411</v>
      </c>
      <c r="C88" t="s">
        <v>205</v>
      </c>
      <c r="D88" t="s">
        <v>424</v>
      </c>
      <c r="E88">
        <v>15000</v>
      </c>
      <c r="G88">
        <v>15000</v>
      </c>
      <c r="I88">
        <v>2025</v>
      </c>
      <c r="J88" t="s">
        <v>68</v>
      </c>
    </row>
    <row r="89" spans="1:10" x14ac:dyDescent="0.25">
      <c r="A89" t="s">
        <v>503</v>
      </c>
      <c r="B89" t="s">
        <v>411</v>
      </c>
      <c r="C89" t="s">
        <v>206</v>
      </c>
      <c r="D89" t="s">
        <v>424</v>
      </c>
      <c r="E89">
        <v>15000</v>
      </c>
      <c r="G89">
        <v>15000</v>
      </c>
      <c r="I89">
        <v>2025</v>
      </c>
      <c r="J89" t="s">
        <v>68</v>
      </c>
    </row>
    <row r="90" spans="1:10" x14ac:dyDescent="0.25">
      <c r="A90" t="s">
        <v>504</v>
      </c>
      <c r="B90" t="s">
        <v>411</v>
      </c>
      <c r="C90" t="s">
        <v>207</v>
      </c>
      <c r="D90" t="s">
        <v>424</v>
      </c>
      <c r="E90">
        <v>20000</v>
      </c>
      <c r="G90">
        <v>20000</v>
      </c>
      <c r="I90">
        <v>2025</v>
      </c>
      <c r="J90" t="s">
        <v>68</v>
      </c>
    </row>
    <row r="91" spans="1:10" x14ac:dyDescent="0.25">
      <c r="A91" t="s">
        <v>505</v>
      </c>
      <c r="B91" t="s">
        <v>411</v>
      </c>
      <c r="C91" t="s">
        <v>210</v>
      </c>
      <c r="D91" t="s">
        <v>424</v>
      </c>
      <c r="E91">
        <v>30000</v>
      </c>
      <c r="G91">
        <v>30000</v>
      </c>
      <c r="I91">
        <v>2025</v>
      </c>
      <c r="J91" t="s">
        <v>68</v>
      </c>
    </row>
    <row r="92" spans="1:10" x14ac:dyDescent="0.25">
      <c r="A92" t="s">
        <v>506</v>
      </c>
      <c r="B92" t="s">
        <v>411</v>
      </c>
      <c r="C92" t="s">
        <v>211</v>
      </c>
      <c r="D92" t="s">
        <v>424</v>
      </c>
      <c r="E92">
        <v>25000</v>
      </c>
      <c r="G92">
        <v>25000</v>
      </c>
      <c r="I92">
        <v>2025</v>
      </c>
      <c r="J92" t="s">
        <v>68</v>
      </c>
    </row>
    <row r="93" spans="1:10" x14ac:dyDescent="0.25">
      <c r="A93" t="s">
        <v>507</v>
      </c>
      <c r="B93" t="s">
        <v>411</v>
      </c>
      <c r="C93" t="s">
        <v>212</v>
      </c>
      <c r="D93" t="s">
        <v>424</v>
      </c>
      <c r="E93">
        <v>25000</v>
      </c>
      <c r="G93">
        <v>25000</v>
      </c>
      <c r="I93">
        <v>2025</v>
      </c>
      <c r="J93" t="s">
        <v>68</v>
      </c>
    </row>
    <row r="94" spans="1:10" x14ac:dyDescent="0.25">
      <c r="A94" t="s">
        <v>508</v>
      </c>
      <c r="B94" t="s">
        <v>411</v>
      </c>
      <c r="C94" t="s">
        <v>213</v>
      </c>
      <c r="D94" t="s">
        <v>424</v>
      </c>
      <c r="E94">
        <v>25000</v>
      </c>
      <c r="G94">
        <v>25000</v>
      </c>
      <c r="I94">
        <v>2025</v>
      </c>
      <c r="J94" t="s">
        <v>68</v>
      </c>
    </row>
    <row r="95" spans="1:10" x14ac:dyDescent="0.25">
      <c r="A95" t="s">
        <v>509</v>
      </c>
      <c r="B95" t="s">
        <v>411</v>
      </c>
      <c r="C95" t="s">
        <v>214</v>
      </c>
      <c r="D95" t="s">
        <v>424</v>
      </c>
      <c r="E95">
        <v>40000</v>
      </c>
      <c r="G95">
        <v>40000</v>
      </c>
      <c r="I95">
        <v>2025</v>
      </c>
      <c r="J95" t="s">
        <v>68</v>
      </c>
    </row>
    <row r="96" spans="1:10" x14ac:dyDescent="0.25">
      <c r="A96" t="s">
        <v>510</v>
      </c>
      <c r="B96" t="s">
        <v>411</v>
      </c>
      <c r="C96" t="s">
        <v>215</v>
      </c>
      <c r="D96" t="s">
        <v>424</v>
      </c>
      <c r="E96">
        <v>20000</v>
      </c>
      <c r="G96">
        <v>20000</v>
      </c>
      <c r="I96">
        <v>2025</v>
      </c>
      <c r="J96" t="s">
        <v>68</v>
      </c>
    </row>
    <row r="97" spans="1:10" x14ac:dyDescent="0.25">
      <c r="A97" t="s">
        <v>511</v>
      </c>
      <c r="B97" t="s">
        <v>411</v>
      </c>
      <c r="C97" t="s">
        <v>216</v>
      </c>
      <c r="D97" t="s">
        <v>424</v>
      </c>
      <c r="E97">
        <v>20000</v>
      </c>
      <c r="G97">
        <v>20000</v>
      </c>
      <c r="I97">
        <v>2025</v>
      </c>
      <c r="J97" t="s">
        <v>68</v>
      </c>
    </row>
    <row r="98" spans="1:10" x14ac:dyDescent="0.25">
      <c r="A98" t="s">
        <v>512</v>
      </c>
      <c r="B98" t="s">
        <v>411</v>
      </c>
      <c r="C98" t="s">
        <v>217</v>
      </c>
      <c r="D98" t="s">
        <v>424</v>
      </c>
      <c r="E98">
        <v>20000</v>
      </c>
      <c r="G98">
        <v>20000</v>
      </c>
      <c r="I98">
        <v>2025</v>
      </c>
      <c r="J98" t="s">
        <v>68</v>
      </c>
    </row>
    <row r="99" spans="1:10" x14ac:dyDescent="0.25">
      <c r="A99" t="s">
        <v>513</v>
      </c>
      <c r="B99" t="s">
        <v>411</v>
      </c>
      <c r="C99" t="s">
        <v>218</v>
      </c>
      <c r="D99" t="s">
        <v>424</v>
      </c>
      <c r="E99">
        <v>25000</v>
      </c>
      <c r="G99">
        <v>25000</v>
      </c>
      <c r="I99">
        <v>2025</v>
      </c>
      <c r="J99" t="s">
        <v>68</v>
      </c>
    </row>
    <row r="100" spans="1:10" x14ac:dyDescent="0.25">
      <c r="A100" t="s">
        <v>514</v>
      </c>
      <c r="B100" t="s">
        <v>411</v>
      </c>
      <c r="C100" t="s">
        <v>219</v>
      </c>
      <c r="D100" t="s">
        <v>424</v>
      </c>
      <c r="E100">
        <v>25000</v>
      </c>
      <c r="G100">
        <v>25000</v>
      </c>
      <c r="I100">
        <v>2025</v>
      </c>
      <c r="J100" t="s">
        <v>68</v>
      </c>
    </row>
    <row r="101" spans="1:10" x14ac:dyDescent="0.25">
      <c r="A101" t="s">
        <v>515</v>
      </c>
      <c r="B101" t="s">
        <v>411</v>
      </c>
      <c r="C101" t="s">
        <v>220</v>
      </c>
      <c r="D101" t="s">
        <v>424</v>
      </c>
      <c r="E101">
        <v>25000</v>
      </c>
      <c r="G101">
        <v>25000</v>
      </c>
      <c r="I101">
        <v>2025</v>
      </c>
      <c r="J101" t="s">
        <v>68</v>
      </c>
    </row>
    <row r="102" spans="1:10" x14ac:dyDescent="0.25">
      <c r="A102" t="s">
        <v>516</v>
      </c>
      <c r="B102" t="s">
        <v>411</v>
      </c>
      <c r="C102" t="s">
        <v>221</v>
      </c>
      <c r="D102" t="s">
        <v>424</v>
      </c>
      <c r="E102">
        <v>33000</v>
      </c>
      <c r="G102">
        <v>33000</v>
      </c>
      <c r="I102">
        <v>2025</v>
      </c>
      <c r="J102" t="s">
        <v>68</v>
      </c>
    </row>
    <row r="103" spans="1:10" x14ac:dyDescent="0.25">
      <c r="A103" t="s">
        <v>517</v>
      </c>
      <c r="B103" t="s">
        <v>411</v>
      </c>
      <c r="C103" t="s">
        <v>222</v>
      </c>
      <c r="D103" t="s">
        <v>424</v>
      </c>
      <c r="E103">
        <v>30000</v>
      </c>
      <c r="G103">
        <v>30000</v>
      </c>
      <c r="I103">
        <v>2025</v>
      </c>
      <c r="J103" t="s">
        <v>68</v>
      </c>
    </row>
    <row r="104" spans="1:10" x14ac:dyDescent="0.25">
      <c r="A104" t="s">
        <v>518</v>
      </c>
      <c r="B104" t="s">
        <v>411</v>
      </c>
      <c r="C104" t="s">
        <v>223</v>
      </c>
      <c r="D104" t="s">
        <v>424</v>
      </c>
      <c r="E104">
        <v>30000</v>
      </c>
      <c r="G104">
        <v>30000</v>
      </c>
      <c r="I104">
        <v>2025</v>
      </c>
      <c r="J104" t="s">
        <v>68</v>
      </c>
    </row>
    <row r="105" spans="1:10" x14ac:dyDescent="0.25">
      <c r="A105" t="s">
        <v>519</v>
      </c>
      <c r="B105" t="s">
        <v>411</v>
      </c>
      <c r="C105" t="s">
        <v>224</v>
      </c>
      <c r="D105" t="s">
        <v>424</v>
      </c>
      <c r="E105">
        <v>30000</v>
      </c>
      <c r="G105">
        <v>30000</v>
      </c>
      <c r="I105">
        <v>2025</v>
      </c>
      <c r="J105" t="s">
        <v>68</v>
      </c>
    </row>
    <row r="106" spans="1:10" x14ac:dyDescent="0.25">
      <c r="A106" t="s">
        <v>520</v>
      </c>
      <c r="B106" t="s">
        <v>411</v>
      </c>
      <c r="C106" t="s">
        <v>226</v>
      </c>
      <c r="D106" t="s">
        <v>424</v>
      </c>
      <c r="E106">
        <v>22000</v>
      </c>
      <c r="G106">
        <v>22000</v>
      </c>
      <c r="I106">
        <v>2025</v>
      </c>
      <c r="J106" t="s">
        <v>68</v>
      </c>
    </row>
    <row r="107" spans="1:10" x14ac:dyDescent="0.25">
      <c r="A107" t="s">
        <v>521</v>
      </c>
      <c r="B107" t="s">
        <v>411</v>
      </c>
      <c r="C107" t="s">
        <v>227</v>
      </c>
      <c r="D107" t="s">
        <v>424</v>
      </c>
      <c r="E107">
        <v>15000</v>
      </c>
      <c r="G107">
        <v>15000</v>
      </c>
      <c r="I107">
        <v>2025</v>
      </c>
      <c r="J107" t="s">
        <v>68</v>
      </c>
    </row>
    <row r="108" spans="1:10" x14ac:dyDescent="0.25">
      <c r="A108" t="s">
        <v>522</v>
      </c>
      <c r="B108" t="s">
        <v>411</v>
      </c>
      <c r="C108" t="s">
        <v>228</v>
      </c>
      <c r="D108" t="s">
        <v>424</v>
      </c>
      <c r="E108">
        <v>25000</v>
      </c>
      <c r="G108">
        <v>25000</v>
      </c>
      <c r="I108">
        <v>2025</v>
      </c>
      <c r="J108" t="s">
        <v>68</v>
      </c>
    </row>
    <row r="109" spans="1:10" x14ac:dyDescent="0.25">
      <c r="A109" t="s">
        <v>523</v>
      </c>
      <c r="B109" t="s">
        <v>411</v>
      </c>
      <c r="C109" t="s">
        <v>229</v>
      </c>
      <c r="D109" t="s">
        <v>424</v>
      </c>
      <c r="E109">
        <v>15000</v>
      </c>
      <c r="G109">
        <v>15000</v>
      </c>
      <c r="I109">
        <v>2025</v>
      </c>
      <c r="J109" t="s">
        <v>68</v>
      </c>
    </row>
    <row r="110" spans="1:10" x14ac:dyDescent="0.25">
      <c r="A110" t="s">
        <v>524</v>
      </c>
      <c r="B110" t="s">
        <v>411</v>
      </c>
      <c r="C110" t="s">
        <v>230</v>
      </c>
      <c r="D110" t="s">
        <v>424</v>
      </c>
      <c r="E110">
        <v>15000</v>
      </c>
      <c r="G110">
        <v>15000</v>
      </c>
      <c r="I110">
        <v>2025</v>
      </c>
      <c r="J110" t="s">
        <v>68</v>
      </c>
    </row>
    <row r="111" spans="1:10" x14ac:dyDescent="0.25">
      <c r="A111" t="s">
        <v>525</v>
      </c>
      <c r="B111" t="s">
        <v>411</v>
      </c>
      <c r="C111" t="s">
        <v>231</v>
      </c>
      <c r="D111" t="s">
        <v>424</v>
      </c>
      <c r="E111">
        <v>35000</v>
      </c>
      <c r="G111">
        <v>35000</v>
      </c>
      <c r="I111">
        <v>2025</v>
      </c>
      <c r="J111" t="s">
        <v>68</v>
      </c>
    </row>
    <row r="112" spans="1:10" x14ac:dyDescent="0.25">
      <c r="A112" t="s">
        <v>526</v>
      </c>
      <c r="B112" t="s">
        <v>411</v>
      </c>
      <c r="C112" t="s">
        <v>232</v>
      </c>
      <c r="D112" t="s">
        <v>424</v>
      </c>
      <c r="E112">
        <v>25000</v>
      </c>
      <c r="G112">
        <v>25000</v>
      </c>
      <c r="I112">
        <v>2025</v>
      </c>
      <c r="J112" t="s">
        <v>68</v>
      </c>
    </row>
    <row r="113" spans="1:10" x14ac:dyDescent="0.25">
      <c r="A113" t="s">
        <v>527</v>
      </c>
      <c r="B113" t="s">
        <v>411</v>
      </c>
      <c r="C113" t="s">
        <v>233</v>
      </c>
      <c r="D113" t="s">
        <v>424</v>
      </c>
      <c r="E113">
        <v>25000</v>
      </c>
      <c r="G113">
        <v>25000</v>
      </c>
      <c r="I113">
        <v>2025</v>
      </c>
      <c r="J113" t="s">
        <v>68</v>
      </c>
    </row>
    <row r="114" spans="1:10" x14ac:dyDescent="0.25">
      <c r="A114" t="s">
        <v>528</v>
      </c>
      <c r="B114" t="s">
        <v>411</v>
      </c>
      <c r="C114" t="s">
        <v>235</v>
      </c>
      <c r="D114" t="s">
        <v>424</v>
      </c>
      <c r="E114">
        <v>25000</v>
      </c>
      <c r="G114">
        <v>25000</v>
      </c>
      <c r="I114">
        <v>2025</v>
      </c>
      <c r="J114" t="s">
        <v>68</v>
      </c>
    </row>
    <row r="115" spans="1:10" x14ac:dyDescent="0.25">
      <c r="A115" t="s">
        <v>529</v>
      </c>
      <c r="B115" t="s">
        <v>411</v>
      </c>
      <c r="C115" t="s">
        <v>236</v>
      </c>
      <c r="D115" t="s">
        <v>424</v>
      </c>
      <c r="E115">
        <v>35000</v>
      </c>
      <c r="G115">
        <v>35000</v>
      </c>
      <c r="I115">
        <v>2025</v>
      </c>
      <c r="J115" t="s">
        <v>68</v>
      </c>
    </row>
    <row r="116" spans="1:10" x14ac:dyDescent="0.25">
      <c r="A116" t="s">
        <v>530</v>
      </c>
      <c r="B116" t="s">
        <v>411</v>
      </c>
      <c r="C116" t="s">
        <v>237</v>
      </c>
      <c r="D116" t="s">
        <v>424</v>
      </c>
      <c r="E116">
        <v>35000</v>
      </c>
      <c r="G116">
        <v>35000</v>
      </c>
      <c r="I116">
        <v>2025</v>
      </c>
      <c r="J116" t="s">
        <v>68</v>
      </c>
    </row>
    <row r="117" spans="1:10" x14ac:dyDescent="0.25">
      <c r="A117" t="s">
        <v>531</v>
      </c>
      <c r="B117" t="s">
        <v>411</v>
      </c>
      <c r="C117" t="s">
        <v>238</v>
      </c>
      <c r="D117" t="s">
        <v>424</v>
      </c>
      <c r="E117">
        <v>350000</v>
      </c>
      <c r="G117">
        <v>350000</v>
      </c>
      <c r="I117">
        <v>2025</v>
      </c>
      <c r="J117" t="s">
        <v>68</v>
      </c>
    </row>
    <row r="118" spans="1:10" x14ac:dyDescent="0.25">
      <c r="A118" t="s">
        <v>532</v>
      </c>
      <c r="B118" t="s">
        <v>411</v>
      </c>
      <c r="C118" t="s">
        <v>239</v>
      </c>
      <c r="D118" t="s">
        <v>424</v>
      </c>
      <c r="E118">
        <v>35000</v>
      </c>
      <c r="G118">
        <v>35000</v>
      </c>
      <c r="I118">
        <v>2025</v>
      </c>
      <c r="J118" t="s">
        <v>68</v>
      </c>
    </row>
    <row r="119" spans="1:10" x14ac:dyDescent="0.25">
      <c r="A119" t="s">
        <v>533</v>
      </c>
      <c r="B119" t="s">
        <v>411</v>
      </c>
      <c r="C119" t="s">
        <v>240</v>
      </c>
      <c r="D119" t="s">
        <v>424</v>
      </c>
      <c r="E119">
        <v>35000</v>
      </c>
      <c r="G119">
        <v>35000</v>
      </c>
      <c r="I119">
        <v>2025</v>
      </c>
      <c r="J119" t="s">
        <v>68</v>
      </c>
    </row>
    <row r="120" spans="1:10" x14ac:dyDescent="0.25">
      <c r="A120" t="s">
        <v>534</v>
      </c>
      <c r="B120" t="s">
        <v>411</v>
      </c>
      <c r="C120" t="s">
        <v>241</v>
      </c>
      <c r="D120" t="s">
        <v>424</v>
      </c>
      <c r="E120">
        <v>35000</v>
      </c>
      <c r="G120">
        <v>35000</v>
      </c>
      <c r="I120">
        <v>2025</v>
      </c>
      <c r="J120" t="s">
        <v>68</v>
      </c>
    </row>
    <row r="121" spans="1:10" x14ac:dyDescent="0.25">
      <c r="A121" t="s">
        <v>535</v>
      </c>
      <c r="B121" t="s">
        <v>411</v>
      </c>
      <c r="C121" t="s">
        <v>242</v>
      </c>
      <c r="D121" t="s">
        <v>424</v>
      </c>
      <c r="E121">
        <v>11000</v>
      </c>
      <c r="G121">
        <v>11000</v>
      </c>
      <c r="I121">
        <v>2025</v>
      </c>
      <c r="J121" t="s">
        <v>68</v>
      </c>
    </row>
    <row r="122" spans="1:10" x14ac:dyDescent="0.25">
      <c r="A122" t="s">
        <v>536</v>
      </c>
      <c r="B122" t="s">
        <v>411</v>
      </c>
      <c r="C122" t="s">
        <v>243</v>
      </c>
      <c r="D122" t="s">
        <v>424</v>
      </c>
      <c r="E122">
        <v>12000</v>
      </c>
      <c r="G122">
        <v>12000</v>
      </c>
      <c r="I122">
        <v>2025</v>
      </c>
      <c r="J122" t="s">
        <v>68</v>
      </c>
    </row>
    <row r="123" spans="1:10" x14ac:dyDescent="0.25">
      <c r="A123" t="s">
        <v>537</v>
      </c>
      <c r="B123" t="s">
        <v>411</v>
      </c>
      <c r="C123" t="s">
        <v>244</v>
      </c>
      <c r="D123" t="s">
        <v>424</v>
      </c>
      <c r="E123">
        <v>12000</v>
      </c>
      <c r="G123">
        <v>12000</v>
      </c>
      <c r="I123">
        <v>2025</v>
      </c>
      <c r="J123" t="s">
        <v>68</v>
      </c>
    </row>
    <row r="124" spans="1:10" x14ac:dyDescent="0.25">
      <c r="A124" t="s">
        <v>538</v>
      </c>
      <c r="B124" t="s">
        <v>411</v>
      </c>
      <c r="C124" t="s">
        <v>245</v>
      </c>
      <c r="D124" t="s">
        <v>424</v>
      </c>
      <c r="E124">
        <v>12000</v>
      </c>
      <c r="G124">
        <v>12000</v>
      </c>
      <c r="I124">
        <v>2025</v>
      </c>
      <c r="J124" t="s">
        <v>68</v>
      </c>
    </row>
    <row r="125" spans="1:10" x14ac:dyDescent="0.25">
      <c r="A125" t="s">
        <v>539</v>
      </c>
      <c r="B125" t="s">
        <v>411</v>
      </c>
      <c r="C125" t="s">
        <v>246</v>
      </c>
      <c r="D125" t="s">
        <v>424</v>
      </c>
      <c r="E125">
        <v>12000</v>
      </c>
      <c r="G125">
        <v>12000</v>
      </c>
      <c r="I125">
        <v>2025</v>
      </c>
      <c r="J125" t="s">
        <v>68</v>
      </c>
    </row>
    <row r="126" spans="1:10" x14ac:dyDescent="0.25">
      <c r="A126" t="s">
        <v>540</v>
      </c>
      <c r="B126" t="s">
        <v>411</v>
      </c>
      <c r="C126" t="s">
        <v>247</v>
      </c>
      <c r="D126" t="s">
        <v>424</v>
      </c>
      <c r="E126">
        <v>14000</v>
      </c>
      <c r="G126">
        <v>14000</v>
      </c>
      <c r="I126">
        <v>2025</v>
      </c>
      <c r="J126" t="s">
        <v>68</v>
      </c>
    </row>
    <row r="127" spans="1:10" x14ac:dyDescent="0.25">
      <c r="A127" t="s">
        <v>541</v>
      </c>
      <c r="B127" t="s">
        <v>411</v>
      </c>
      <c r="C127" t="s">
        <v>248</v>
      </c>
      <c r="D127" t="s">
        <v>424</v>
      </c>
      <c r="E127">
        <v>14000</v>
      </c>
      <c r="G127">
        <v>14000</v>
      </c>
      <c r="I127">
        <v>2025</v>
      </c>
      <c r="J127" t="s">
        <v>68</v>
      </c>
    </row>
    <row r="128" spans="1:10" x14ac:dyDescent="0.25">
      <c r="A128" t="s">
        <v>542</v>
      </c>
      <c r="B128" t="s">
        <v>411</v>
      </c>
      <c r="C128" t="s">
        <v>250</v>
      </c>
      <c r="D128" t="s">
        <v>424</v>
      </c>
      <c r="E128">
        <v>14000</v>
      </c>
      <c r="G128">
        <v>14000</v>
      </c>
      <c r="I128">
        <v>2025</v>
      </c>
      <c r="J128" t="s">
        <v>68</v>
      </c>
    </row>
    <row r="129" spans="1:10" x14ac:dyDescent="0.25">
      <c r="A129" t="s">
        <v>543</v>
      </c>
      <c r="B129" t="s">
        <v>411</v>
      </c>
      <c r="C129" t="s">
        <v>251</v>
      </c>
      <c r="D129" t="s">
        <v>424</v>
      </c>
      <c r="E129">
        <v>14000</v>
      </c>
      <c r="G129">
        <v>14000</v>
      </c>
      <c r="I129">
        <v>2025</v>
      </c>
      <c r="J129" t="s">
        <v>68</v>
      </c>
    </row>
    <row r="130" spans="1:10" x14ac:dyDescent="0.25">
      <c r="A130" t="s">
        <v>544</v>
      </c>
      <c r="B130" t="s">
        <v>411</v>
      </c>
      <c r="C130" t="s">
        <v>197</v>
      </c>
      <c r="D130" t="s">
        <v>424</v>
      </c>
      <c r="E130">
        <v>10000</v>
      </c>
      <c r="G130">
        <v>10000</v>
      </c>
      <c r="I130">
        <v>2025</v>
      </c>
      <c r="J130" t="s">
        <v>68</v>
      </c>
    </row>
    <row r="131" spans="1:10" x14ac:dyDescent="0.25">
      <c r="A131" t="s">
        <v>545</v>
      </c>
      <c r="B131" t="s">
        <v>411</v>
      </c>
      <c r="C131" t="s">
        <v>253</v>
      </c>
      <c r="D131" t="s">
        <v>424</v>
      </c>
      <c r="E131">
        <v>8000</v>
      </c>
      <c r="G131">
        <v>8000</v>
      </c>
      <c r="I131">
        <v>2025</v>
      </c>
      <c r="J131" t="s">
        <v>68</v>
      </c>
    </row>
    <row r="132" spans="1:10" x14ac:dyDescent="0.25">
      <c r="A132" t="s">
        <v>546</v>
      </c>
      <c r="B132" t="s">
        <v>411</v>
      </c>
      <c r="C132" t="s">
        <v>254</v>
      </c>
      <c r="D132" t="s">
        <v>424</v>
      </c>
      <c r="E132">
        <v>8000</v>
      </c>
      <c r="G132">
        <v>8000</v>
      </c>
      <c r="I132">
        <v>2025</v>
      </c>
      <c r="J132" t="s">
        <v>68</v>
      </c>
    </row>
    <row r="133" spans="1:10" x14ac:dyDescent="0.25">
      <c r="A133" t="s">
        <v>547</v>
      </c>
      <c r="B133" t="s">
        <v>411</v>
      </c>
      <c r="C133" t="s">
        <v>255</v>
      </c>
      <c r="D133" t="s">
        <v>424</v>
      </c>
      <c r="E133">
        <v>8000</v>
      </c>
      <c r="G133">
        <v>8000</v>
      </c>
      <c r="I133">
        <v>2025</v>
      </c>
      <c r="J133" t="s">
        <v>68</v>
      </c>
    </row>
    <row r="134" spans="1:10" x14ac:dyDescent="0.25">
      <c r="A134" t="s">
        <v>548</v>
      </c>
      <c r="B134" t="s">
        <v>411</v>
      </c>
      <c r="C134" t="s">
        <v>256</v>
      </c>
      <c r="D134" t="s">
        <v>424</v>
      </c>
      <c r="E134">
        <v>8000</v>
      </c>
      <c r="G134">
        <v>8000</v>
      </c>
      <c r="I134">
        <v>2025</v>
      </c>
      <c r="J134" t="s">
        <v>68</v>
      </c>
    </row>
    <row r="135" spans="1:10" x14ac:dyDescent="0.25">
      <c r="A135" t="s">
        <v>549</v>
      </c>
      <c r="B135" t="s">
        <v>411</v>
      </c>
      <c r="C135" t="s">
        <v>257</v>
      </c>
      <c r="D135" t="s">
        <v>424</v>
      </c>
      <c r="E135">
        <v>10000</v>
      </c>
      <c r="G135">
        <v>10000</v>
      </c>
      <c r="I135">
        <v>2025</v>
      </c>
      <c r="J135" t="s">
        <v>68</v>
      </c>
    </row>
    <row r="136" spans="1:10" x14ac:dyDescent="0.25">
      <c r="A136" t="s">
        <v>550</v>
      </c>
      <c r="B136" t="s">
        <v>411</v>
      </c>
      <c r="C136" t="s">
        <v>258</v>
      </c>
      <c r="D136" t="s">
        <v>424</v>
      </c>
      <c r="E136">
        <v>10000</v>
      </c>
      <c r="G136">
        <v>10000</v>
      </c>
      <c r="I136">
        <v>2025</v>
      </c>
      <c r="J136" t="s">
        <v>68</v>
      </c>
    </row>
    <row r="137" spans="1:10" x14ac:dyDescent="0.25">
      <c r="A137" t="s">
        <v>551</v>
      </c>
      <c r="B137" t="s">
        <v>411</v>
      </c>
      <c r="C137" t="s">
        <v>259</v>
      </c>
      <c r="D137" t="s">
        <v>424</v>
      </c>
      <c r="E137">
        <v>10000</v>
      </c>
      <c r="G137">
        <v>10000</v>
      </c>
      <c r="I137">
        <v>2025</v>
      </c>
      <c r="J137" t="s">
        <v>68</v>
      </c>
    </row>
    <row r="138" spans="1:10" x14ac:dyDescent="0.25">
      <c r="A138" t="s">
        <v>552</v>
      </c>
      <c r="B138" t="s">
        <v>411</v>
      </c>
      <c r="C138" t="s">
        <v>260</v>
      </c>
      <c r="D138" t="s">
        <v>424</v>
      </c>
      <c r="E138">
        <v>17000</v>
      </c>
      <c r="G138">
        <v>17000</v>
      </c>
      <c r="I138">
        <v>2025</v>
      </c>
      <c r="J138" t="s">
        <v>68</v>
      </c>
    </row>
    <row r="139" spans="1:10" x14ac:dyDescent="0.25">
      <c r="A139" t="s">
        <v>553</v>
      </c>
      <c r="B139" t="s">
        <v>411</v>
      </c>
      <c r="C139" t="s">
        <v>261</v>
      </c>
      <c r="D139" t="s">
        <v>424</v>
      </c>
      <c r="E139">
        <v>17000</v>
      </c>
      <c r="G139">
        <v>17000</v>
      </c>
      <c r="I139">
        <v>2025</v>
      </c>
      <c r="J139" t="s">
        <v>68</v>
      </c>
    </row>
    <row r="140" spans="1:10" x14ac:dyDescent="0.25">
      <c r="A140" t="s">
        <v>554</v>
      </c>
      <c r="B140" t="s">
        <v>411</v>
      </c>
      <c r="C140" t="s">
        <v>262</v>
      </c>
      <c r="D140" t="s">
        <v>424</v>
      </c>
      <c r="E140">
        <v>10000</v>
      </c>
      <c r="G140">
        <v>10000</v>
      </c>
      <c r="I140">
        <v>2025</v>
      </c>
      <c r="J140" t="s">
        <v>68</v>
      </c>
    </row>
    <row r="141" spans="1:10" x14ac:dyDescent="0.25">
      <c r="A141" t="s">
        <v>555</v>
      </c>
      <c r="B141" t="s">
        <v>411</v>
      </c>
      <c r="C141" t="s">
        <v>263</v>
      </c>
      <c r="D141" t="s">
        <v>424</v>
      </c>
      <c r="E141">
        <v>10000</v>
      </c>
      <c r="G141">
        <v>10000</v>
      </c>
      <c r="I141">
        <v>2025</v>
      </c>
      <c r="J141" t="s">
        <v>68</v>
      </c>
    </row>
    <row r="142" spans="1:10" x14ac:dyDescent="0.25">
      <c r="A142" t="s">
        <v>556</v>
      </c>
      <c r="B142" t="s">
        <v>411</v>
      </c>
      <c r="C142" t="s">
        <v>264</v>
      </c>
      <c r="D142" t="s">
        <v>424</v>
      </c>
      <c r="E142">
        <v>20000</v>
      </c>
      <c r="G142">
        <v>20000</v>
      </c>
      <c r="I142">
        <v>2025</v>
      </c>
      <c r="J142" t="s">
        <v>68</v>
      </c>
    </row>
    <row r="143" spans="1:10" x14ac:dyDescent="0.25">
      <c r="A143" t="s">
        <v>557</v>
      </c>
      <c r="B143" t="s">
        <v>411</v>
      </c>
      <c r="C143" t="s">
        <v>266</v>
      </c>
      <c r="D143" t="s">
        <v>424</v>
      </c>
      <c r="E143">
        <v>17000</v>
      </c>
      <c r="G143">
        <v>17000</v>
      </c>
      <c r="I143">
        <v>2025</v>
      </c>
      <c r="J143" t="s">
        <v>68</v>
      </c>
    </row>
    <row r="144" spans="1:10" x14ac:dyDescent="0.25">
      <c r="A144" t="s">
        <v>558</v>
      </c>
      <c r="B144" t="s">
        <v>411</v>
      </c>
      <c r="C144" t="s">
        <v>267</v>
      </c>
      <c r="D144" t="s">
        <v>424</v>
      </c>
      <c r="E144">
        <v>20000</v>
      </c>
      <c r="G144">
        <v>20000</v>
      </c>
      <c r="I144">
        <v>2025</v>
      </c>
      <c r="J144" t="s">
        <v>68</v>
      </c>
    </row>
    <row r="145" spans="1:10" x14ac:dyDescent="0.25">
      <c r="A145" t="s">
        <v>559</v>
      </c>
      <c r="B145" t="s">
        <v>411</v>
      </c>
      <c r="C145" t="s">
        <v>268</v>
      </c>
      <c r="D145" t="s">
        <v>424</v>
      </c>
      <c r="E145">
        <v>8000</v>
      </c>
      <c r="G145">
        <v>8000</v>
      </c>
      <c r="I145">
        <v>2025</v>
      </c>
      <c r="J145" t="s">
        <v>68</v>
      </c>
    </row>
    <row r="146" spans="1:10" x14ac:dyDescent="0.25">
      <c r="A146" t="s">
        <v>560</v>
      </c>
      <c r="B146" t="s">
        <v>411</v>
      </c>
      <c r="C146" t="s">
        <v>269</v>
      </c>
      <c r="D146" t="s">
        <v>424</v>
      </c>
      <c r="E146">
        <v>10000</v>
      </c>
      <c r="G146">
        <v>10000</v>
      </c>
      <c r="I146">
        <v>2025</v>
      </c>
      <c r="J146" t="s">
        <v>68</v>
      </c>
    </row>
    <row r="147" spans="1:10" x14ac:dyDescent="0.25">
      <c r="A147" t="s">
        <v>561</v>
      </c>
      <c r="B147" t="s">
        <v>411</v>
      </c>
      <c r="C147" t="s">
        <v>270</v>
      </c>
      <c r="D147" t="s">
        <v>424</v>
      </c>
      <c r="E147">
        <v>10000</v>
      </c>
      <c r="G147">
        <v>10000</v>
      </c>
      <c r="I147">
        <v>2025</v>
      </c>
      <c r="J147" t="s">
        <v>68</v>
      </c>
    </row>
    <row r="148" spans="1:10" x14ac:dyDescent="0.25">
      <c r="A148" t="s">
        <v>562</v>
      </c>
      <c r="B148" t="s">
        <v>411</v>
      </c>
      <c r="C148" t="s">
        <v>271</v>
      </c>
      <c r="D148" t="s">
        <v>424</v>
      </c>
      <c r="E148">
        <v>17000</v>
      </c>
      <c r="G148">
        <v>17000</v>
      </c>
      <c r="I148">
        <v>2025</v>
      </c>
      <c r="J148" t="s">
        <v>68</v>
      </c>
    </row>
    <row r="149" spans="1:10" x14ac:dyDescent="0.25">
      <c r="A149" t="s">
        <v>563</v>
      </c>
      <c r="B149" t="s">
        <v>411</v>
      </c>
      <c r="C149" t="s">
        <v>272</v>
      </c>
      <c r="D149" t="s">
        <v>424</v>
      </c>
      <c r="E149">
        <v>10000</v>
      </c>
      <c r="G149">
        <v>10000</v>
      </c>
      <c r="I149">
        <v>2025</v>
      </c>
      <c r="J149" t="s">
        <v>68</v>
      </c>
    </row>
    <row r="150" spans="1:10" x14ac:dyDescent="0.25">
      <c r="A150" t="s">
        <v>564</v>
      </c>
      <c r="B150" t="s">
        <v>411</v>
      </c>
      <c r="C150" t="s">
        <v>273</v>
      </c>
      <c r="D150" t="s">
        <v>424</v>
      </c>
      <c r="E150">
        <v>10000</v>
      </c>
      <c r="G150">
        <v>10000</v>
      </c>
      <c r="I150">
        <v>2025</v>
      </c>
      <c r="J150" t="s">
        <v>68</v>
      </c>
    </row>
    <row r="151" spans="1:10" x14ac:dyDescent="0.25">
      <c r="A151" t="s">
        <v>565</v>
      </c>
      <c r="B151" t="s">
        <v>411</v>
      </c>
      <c r="C151" t="s">
        <v>274</v>
      </c>
      <c r="D151" t="s">
        <v>424</v>
      </c>
      <c r="E151">
        <v>10000</v>
      </c>
      <c r="G151">
        <v>10000</v>
      </c>
      <c r="I151">
        <v>2025</v>
      </c>
      <c r="J151" t="s">
        <v>68</v>
      </c>
    </row>
    <row r="152" spans="1:10" x14ac:dyDescent="0.25">
      <c r="A152" t="s">
        <v>566</v>
      </c>
      <c r="B152" t="s">
        <v>411</v>
      </c>
      <c r="C152" t="s">
        <v>275</v>
      </c>
      <c r="D152" t="s">
        <v>424</v>
      </c>
      <c r="E152">
        <v>17000</v>
      </c>
      <c r="G152">
        <v>17000</v>
      </c>
      <c r="I152">
        <v>2025</v>
      </c>
      <c r="J152" t="s">
        <v>68</v>
      </c>
    </row>
    <row r="153" spans="1:10" x14ac:dyDescent="0.25">
      <c r="A153" t="s">
        <v>567</v>
      </c>
      <c r="B153" t="s">
        <v>411</v>
      </c>
      <c r="C153" t="s">
        <v>276</v>
      </c>
      <c r="D153" t="s">
        <v>424</v>
      </c>
      <c r="E153">
        <v>30000</v>
      </c>
      <c r="G153">
        <v>30000</v>
      </c>
      <c r="I153">
        <v>2025</v>
      </c>
      <c r="J153" t="s">
        <v>68</v>
      </c>
    </row>
    <row r="154" spans="1:10" x14ac:dyDescent="0.25">
      <c r="A154" t="s">
        <v>568</v>
      </c>
      <c r="B154" t="s">
        <v>411</v>
      </c>
      <c r="C154" t="s">
        <v>277</v>
      </c>
      <c r="D154" t="s">
        <v>424</v>
      </c>
      <c r="E154">
        <v>30000</v>
      </c>
      <c r="G154">
        <v>30000</v>
      </c>
      <c r="I154">
        <v>2025</v>
      </c>
      <c r="J154" t="s">
        <v>68</v>
      </c>
    </row>
    <row r="155" spans="1:10" x14ac:dyDescent="0.25">
      <c r="A155" t="s">
        <v>569</v>
      </c>
      <c r="B155" t="s">
        <v>411</v>
      </c>
      <c r="C155" t="s">
        <v>278</v>
      </c>
      <c r="D155" t="s">
        <v>424</v>
      </c>
      <c r="E155">
        <v>30000</v>
      </c>
      <c r="G155">
        <v>30000</v>
      </c>
      <c r="I155">
        <v>2025</v>
      </c>
      <c r="J155" t="s">
        <v>68</v>
      </c>
    </row>
    <row r="156" spans="1:10" x14ac:dyDescent="0.25">
      <c r="A156" t="s">
        <v>570</v>
      </c>
      <c r="B156" t="s">
        <v>411</v>
      </c>
      <c r="C156" t="s">
        <v>279</v>
      </c>
      <c r="D156" t="s">
        <v>424</v>
      </c>
      <c r="E156">
        <v>23000</v>
      </c>
      <c r="G156">
        <v>23000</v>
      </c>
      <c r="I156">
        <v>2025</v>
      </c>
      <c r="J156" t="s">
        <v>68</v>
      </c>
    </row>
    <row r="157" spans="1:10" x14ac:dyDescent="0.25">
      <c r="A157" t="s">
        <v>571</v>
      </c>
      <c r="B157" t="s">
        <v>411</v>
      </c>
      <c r="C157" t="s">
        <v>280</v>
      </c>
      <c r="D157" t="s">
        <v>424</v>
      </c>
      <c r="E157">
        <v>23000</v>
      </c>
      <c r="G157">
        <v>23000</v>
      </c>
      <c r="I157">
        <v>2025</v>
      </c>
      <c r="J157" t="s">
        <v>68</v>
      </c>
    </row>
    <row r="158" spans="1:10" x14ac:dyDescent="0.25">
      <c r="A158" t="s">
        <v>572</v>
      </c>
      <c r="B158" t="s">
        <v>411</v>
      </c>
      <c r="C158" t="s">
        <v>283</v>
      </c>
      <c r="D158" t="s">
        <v>424</v>
      </c>
      <c r="E158">
        <v>10000</v>
      </c>
      <c r="G158">
        <v>10000</v>
      </c>
      <c r="I158">
        <v>2025</v>
      </c>
      <c r="J158" t="s">
        <v>68</v>
      </c>
    </row>
    <row r="159" spans="1:10" x14ac:dyDescent="0.25">
      <c r="A159" t="s">
        <v>573</v>
      </c>
      <c r="B159" t="s">
        <v>411</v>
      </c>
      <c r="C159" t="s">
        <v>285</v>
      </c>
      <c r="D159" t="s">
        <v>424</v>
      </c>
      <c r="E159">
        <v>10000</v>
      </c>
      <c r="G159">
        <v>10000</v>
      </c>
      <c r="I159">
        <v>2025</v>
      </c>
      <c r="J159" t="s">
        <v>68</v>
      </c>
    </row>
    <row r="160" spans="1:10" x14ac:dyDescent="0.25">
      <c r="A160" t="s">
        <v>574</v>
      </c>
      <c r="B160" t="s">
        <v>411</v>
      </c>
      <c r="C160" t="s">
        <v>575</v>
      </c>
      <c r="D160" t="s">
        <v>424</v>
      </c>
      <c r="E160">
        <v>10000</v>
      </c>
      <c r="G160">
        <v>10000</v>
      </c>
      <c r="I160">
        <v>2025</v>
      </c>
      <c r="J160" t="s">
        <v>68</v>
      </c>
    </row>
    <row r="161" spans="1:10" x14ac:dyDescent="0.25">
      <c r="A161" t="s">
        <v>576</v>
      </c>
      <c r="B161" t="s">
        <v>411</v>
      </c>
      <c r="C161" t="s">
        <v>286</v>
      </c>
      <c r="D161" t="s">
        <v>424</v>
      </c>
      <c r="E161">
        <v>10000</v>
      </c>
      <c r="G161">
        <v>10000</v>
      </c>
      <c r="I161">
        <v>2025</v>
      </c>
      <c r="J161" t="s">
        <v>68</v>
      </c>
    </row>
    <row r="162" spans="1:10" x14ac:dyDescent="0.25">
      <c r="A162" t="s">
        <v>577</v>
      </c>
      <c r="B162" t="s">
        <v>411</v>
      </c>
      <c r="C162" t="s">
        <v>287</v>
      </c>
      <c r="D162" t="s">
        <v>424</v>
      </c>
      <c r="E162">
        <v>10000</v>
      </c>
      <c r="G162">
        <v>10000</v>
      </c>
      <c r="I162">
        <v>2025</v>
      </c>
      <c r="J162" t="s">
        <v>68</v>
      </c>
    </row>
    <row r="163" spans="1:10" x14ac:dyDescent="0.25">
      <c r="A163" t="s">
        <v>578</v>
      </c>
      <c r="B163" t="s">
        <v>411</v>
      </c>
      <c r="C163" t="s">
        <v>288</v>
      </c>
      <c r="D163" t="s">
        <v>424</v>
      </c>
      <c r="E163">
        <v>10000</v>
      </c>
      <c r="G163">
        <v>10000</v>
      </c>
      <c r="I163">
        <v>2025</v>
      </c>
      <c r="J163" t="s">
        <v>68</v>
      </c>
    </row>
    <row r="164" spans="1:10" x14ac:dyDescent="0.25">
      <c r="A164" t="s">
        <v>579</v>
      </c>
      <c r="B164" t="s">
        <v>411</v>
      </c>
      <c r="C164" t="s">
        <v>289</v>
      </c>
      <c r="D164" t="s">
        <v>424</v>
      </c>
      <c r="E164">
        <v>10000</v>
      </c>
      <c r="G164">
        <v>10000</v>
      </c>
      <c r="I164">
        <v>2025</v>
      </c>
      <c r="J164" t="s">
        <v>68</v>
      </c>
    </row>
    <row r="165" spans="1:10" x14ac:dyDescent="0.25">
      <c r="A165" t="s">
        <v>580</v>
      </c>
      <c r="B165" t="s">
        <v>411</v>
      </c>
      <c r="C165" t="s">
        <v>292</v>
      </c>
      <c r="D165" t="s">
        <v>424</v>
      </c>
      <c r="E165">
        <v>10000</v>
      </c>
      <c r="G165">
        <v>10000</v>
      </c>
      <c r="I165">
        <v>2025</v>
      </c>
      <c r="J165" t="s">
        <v>68</v>
      </c>
    </row>
    <row r="166" spans="1:10" x14ac:dyDescent="0.25">
      <c r="A166" t="s">
        <v>581</v>
      </c>
      <c r="B166" t="s">
        <v>411</v>
      </c>
      <c r="C166" t="s">
        <v>293</v>
      </c>
      <c r="D166" t="s">
        <v>424</v>
      </c>
      <c r="E166">
        <v>10000</v>
      </c>
      <c r="G166">
        <v>10000</v>
      </c>
      <c r="I166">
        <v>2025</v>
      </c>
      <c r="J166" t="s">
        <v>68</v>
      </c>
    </row>
    <row r="167" spans="1:10" x14ac:dyDescent="0.25">
      <c r="A167" t="s">
        <v>582</v>
      </c>
      <c r="B167" t="s">
        <v>411</v>
      </c>
      <c r="C167" t="s">
        <v>294</v>
      </c>
      <c r="D167" t="s">
        <v>424</v>
      </c>
      <c r="E167">
        <v>10000</v>
      </c>
      <c r="G167">
        <v>10000</v>
      </c>
      <c r="I167">
        <v>2025</v>
      </c>
      <c r="J167" t="s">
        <v>68</v>
      </c>
    </row>
    <row r="168" spans="1:10" x14ac:dyDescent="0.25">
      <c r="A168" t="s">
        <v>583</v>
      </c>
      <c r="B168" t="s">
        <v>411</v>
      </c>
      <c r="C168" t="s">
        <v>295</v>
      </c>
      <c r="D168" t="s">
        <v>424</v>
      </c>
      <c r="E168">
        <v>10000</v>
      </c>
      <c r="G168">
        <v>10000</v>
      </c>
      <c r="I168">
        <v>2025</v>
      </c>
      <c r="J168" t="s">
        <v>68</v>
      </c>
    </row>
    <row r="169" spans="1:10" x14ac:dyDescent="0.25">
      <c r="A169" t="s">
        <v>584</v>
      </c>
      <c r="B169" t="s">
        <v>411</v>
      </c>
      <c r="C169" t="s">
        <v>296</v>
      </c>
      <c r="D169" t="s">
        <v>424</v>
      </c>
      <c r="E169">
        <v>20000</v>
      </c>
      <c r="G169">
        <v>20000</v>
      </c>
      <c r="I169">
        <v>2025</v>
      </c>
      <c r="J169" t="s">
        <v>68</v>
      </c>
    </row>
    <row r="170" spans="1:10" x14ac:dyDescent="0.25">
      <c r="A170" t="s">
        <v>585</v>
      </c>
      <c r="B170" t="s">
        <v>411</v>
      </c>
      <c r="C170" t="s">
        <v>298</v>
      </c>
      <c r="D170" t="s">
        <v>424</v>
      </c>
      <c r="E170">
        <v>16000</v>
      </c>
      <c r="G170">
        <v>16000</v>
      </c>
      <c r="I170">
        <v>2025</v>
      </c>
      <c r="J170" t="s">
        <v>68</v>
      </c>
    </row>
    <row r="171" spans="1:10" x14ac:dyDescent="0.25">
      <c r="A171" t="s">
        <v>586</v>
      </c>
      <c r="B171" t="s">
        <v>411</v>
      </c>
      <c r="C171" t="s">
        <v>299</v>
      </c>
      <c r="D171" t="s">
        <v>424</v>
      </c>
      <c r="E171">
        <v>16000</v>
      </c>
      <c r="G171">
        <v>16000</v>
      </c>
      <c r="I171">
        <v>2025</v>
      </c>
      <c r="J171" t="s">
        <v>68</v>
      </c>
    </row>
    <row r="172" spans="1:10" x14ac:dyDescent="0.25">
      <c r="A172" t="s">
        <v>587</v>
      </c>
      <c r="B172" t="s">
        <v>411</v>
      </c>
      <c r="C172" t="s">
        <v>300</v>
      </c>
      <c r="D172" t="s">
        <v>424</v>
      </c>
      <c r="E172">
        <v>16000</v>
      </c>
      <c r="G172">
        <v>16000</v>
      </c>
      <c r="I172">
        <v>2025</v>
      </c>
      <c r="J172" t="s">
        <v>68</v>
      </c>
    </row>
    <row r="173" spans="1:10" x14ac:dyDescent="0.25">
      <c r="A173" t="s">
        <v>588</v>
      </c>
      <c r="B173" t="s">
        <v>411</v>
      </c>
      <c r="C173" t="s">
        <v>301</v>
      </c>
      <c r="D173" t="s">
        <v>424</v>
      </c>
      <c r="E173">
        <v>17000</v>
      </c>
      <c r="G173">
        <v>17000</v>
      </c>
      <c r="I173">
        <v>2025</v>
      </c>
      <c r="J173" t="s">
        <v>68</v>
      </c>
    </row>
    <row r="174" spans="1:10" x14ac:dyDescent="0.25">
      <c r="A174" t="s">
        <v>589</v>
      </c>
      <c r="B174" t="s">
        <v>411</v>
      </c>
      <c r="C174" t="s">
        <v>302</v>
      </c>
      <c r="D174" t="s">
        <v>424</v>
      </c>
      <c r="E174">
        <v>16000</v>
      </c>
      <c r="G174">
        <v>16000</v>
      </c>
      <c r="I174">
        <v>2025</v>
      </c>
      <c r="J174" t="s">
        <v>68</v>
      </c>
    </row>
    <row r="175" spans="1:10" x14ac:dyDescent="0.25">
      <c r="A175" t="s">
        <v>590</v>
      </c>
      <c r="B175" t="s">
        <v>411</v>
      </c>
      <c r="C175" t="s">
        <v>303</v>
      </c>
      <c r="D175" t="s">
        <v>424</v>
      </c>
      <c r="E175">
        <v>10000</v>
      </c>
      <c r="G175">
        <v>10000</v>
      </c>
      <c r="I175">
        <v>2025</v>
      </c>
      <c r="J175" t="s">
        <v>68</v>
      </c>
    </row>
    <row r="176" spans="1:10" x14ac:dyDescent="0.25">
      <c r="A176" t="s">
        <v>591</v>
      </c>
      <c r="B176" t="s">
        <v>411</v>
      </c>
      <c r="C176" t="s">
        <v>304</v>
      </c>
      <c r="D176" t="s">
        <v>424</v>
      </c>
      <c r="E176">
        <v>5000</v>
      </c>
      <c r="G176">
        <v>5000</v>
      </c>
      <c r="I176">
        <v>2025</v>
      </c>
      <c r="J176" t="s">
        <v>68</v>
      </c>
    </row>
    <row r="177" spans="1:10" x14ac:dyDescent="0.25">
      <c r="A177" t="s">
        <v>592</v>
      </c>
      <c r="B177" t="s">
        <v>411</v>
      </c>
      <c r="C177" t="s">
        <v>306</v>
      </c>
      <c r="D177" t="s">
        <v>424</v>
      </c>
      <c r="E177">
        <v>6000</v>
      </c>
      <c r="G177">
        <v>6000</v>
      </c>
      <c r="I177">
        <v>2025</v>
      </c>
      <c r="J177" t="s">
        <v>68</v>
      </c>
    </row>
    <row r="178" spans="1:10" x14ac:dyDescent="0.25">
      <c r="A178" t="s">
        <v>593</v>
      </c>
      <c r="B178" t="s">
        <v>411</v>
      </c>
      <c r="C178" t="s">
        <v>307</v>
      </c>
      <c r="D178" t="s">
        <v>424</v>
      </c>
      <c r="E178">
        <v>6000</v>
      </c>
      <c r="G178">
        <v>6000</v>
      </c>
      <c r="I178">
        <v>2025</v>
      </c>
      <c r="J178" t="s">
        <v>68</v>
      </c>
    </row>
    <row r="179" spans="1:10" x14ac:dyDescent="0.25">
      <c r="A179" t="s">
        <v>594</v>
      </c>
      <c r="B179" t="s">
        <v>411</v>
      </c>
      <c r="C179" t="s">
        <v>308</v>
      </c>
      <c r="D179" t="s">
        <v>424</v>
      </c>
      <c r="E179">
        <v>35000</v>
      </c>
      <c r="G179">
        <v>35000</v>
      </c>
      <c r="I179">
        <v>2025</v>
      </c>
      <c r="J179" t="s">
        <v>68</v>
      </c>
    </row>
    <row r="180" spans="1:10" x14ac:dyDescent="0.25">
      <c r="A180" t="s">
        <v>595</v>
      </c>
      <c r="B180" t="s">
        <v>411</v>
      </c>
      <c r="C180" t="s">
        <v>310</v>
      </c>
      <c r="D180" t="s">
        <v>424</v>
      </c>
      <c r="E180">
        <v>20000</v>
      </c>
      <c r="G180">
        <v>20000</v>
      </c>
      <c r="I180">
        <v>2025</v>
      </c>
      <c r="J180" t="s">
        <v>68</v>
      </c>
    </row>
    <row r="181" spans="1:10" x14ac:dyDescent="0.25">
      <c r="A181" t="s">
        <v>596</v>
      </c>
      <c r="B181" t="s">
        <v>411</v>
      </c>
      <c r="C181" t="s">
        <v>311</v>
      </c>
      <c r="D181" t="s">
        <v>424</v>
      </c>
      <c r="E181">
        <v>11000</v>
      </c>
      <c r="G181">
        <v>11000</v>
      </c>
      <c r="I181">
        <v>2025</v>
      </c>
      <c r="J181" t="s">
        <v>68</v>
      </c>
    </row>
    <row r="182" spans="1:10" x14ac:dyDescent="0.25">
      <c r="A182" t="s">
        <v>597</v>
      </c>
      <c r="B182" t="s">
        <v>411</v>
      </c>
      <c r="C182" t="s">
        <v>312</v>
      </c>
      <c r="D182" t="s">
        <v>424</v>
      </c>
      <c r="E182">
        <v>15000</v>
      </c>
      <c r="G182">
        <v>15000</v>
      </c>
      <c r="I182">
        <v>2025</v>
      </c>
      <c r="J182" t="s">
        <v>68</v>
      </c>
    </row>
    <row r="183" spans="1:10" x14ac:dyDescent="0.25">
      <c r="A183" t="s">
        <v>598</v>
      </c>
      <c r="B183" t="s">
        <v>411</v>
      </c>
      <c r="C183" t="s">
        <v>313</v>
      </c>
      <c r="D183" t="s">
        <v>424</v>
      </c>
      <c r="E183">
        <v>15000</v>
      </c>
      <c r="G183">
        <v>15000</v>
      </c>
      <c r="I183">
        <v>2025</v>
      </c>
      <c r="J183" t="s">
        <v>68</v>
      </c>
    </row>
    <row r="184" spans="1:10" x14ac:dyDescent="0.25">
      <c r="A184" t="s">
        <v>599</v>
      </c>
      <c r="B184" t="s">
        <v>411</v>
      </c>
      <c r="C184" t="s">
        <v>314</v>
      </c>
      <c r="D184" t="s">
        <v>424</v>
      </c>
      <c r="E184">
        <v>15000</v>
      </c>
      <c r="G184">
        <v>15000</v>
      </c>
      <c r="I184">
        <v>2025</v>
      </c>
      <c r="J184" t="s">
        <v>68</v>
      </c>
    </row>
    <row r="185" spans="1:10" x14ac:dyDescent="0.25">
      <c r="A185" t="s">
        <v>600</v>
      </c>
      <c r="B185" t="s">
        <v>411</v>
      </c>
      <c r="C185" t="s">
        <v>315</v>
      </c>
      <c r="D185" t="s">
        <v>424</v>
      </c>
      <c r="E185">
        <v>25000</v>
      </c>
      <c r="G185">
        <v>25000</v>
      </c>
      <c r="I185">
        <v>2025</v>
      </c>
      <c r="J185" t="s">
        <v>68</v>
      </c>
    </row>
    <row r="186" spans="1:10" x14ac:dyDescent="0.25">
      <c r="A186" t="s">
        <v>601</v>
      </c>
      <c r="B186" t="s">
        <v>411</v>
      </c>
      <c r="C186" t="s">
        <v>316</v>
      </c>
      <c r="D186" t="s">
        <v>424</v>
      </c>
      <c r="E186">
        <v>15000</v>
      </c>
      <c r="G186">
        <v>15000</v>
      </c>
      <c r="I186">
        <v>2025</v>
      </c>
      <c r="J186" t="s">
        <v>68</v>
      </c>
    </row>
    <row r="187" spans="1:10" x14ac:dyDescent="0.25">
      <c r="A187" t="s">
        <v>602</v>
      </c>
      <c r="B187" t="s">
        <v>411</v>
      </c>
      <c r="C187" t="s">
        <v>317</v>
      </c>
      <c r="D187" t="s">
        <v>424</v>
      </c>
      <c r="E187">
        <v>25000</v>
      </c>
      <c r="G187">
        <v>25000</v>
      </c>
      <c r="I187">
        <v>2025</v>
      </c>
      <c r="J187" t="s">
        <v>68</v>
      </c>
    </row>
    <row r="188" spans="1:10" x14ac:dyDescent="0.25">
      <c r="A188" t="s">
        <v>603</v>
      </c>
      <c r="B188" t="s">
        <v>411</v>
      </c>
      <c r="C188" t="s">
        <v>318</v>
      </c>
      <c r="D188" t="s">
        <v>424</v>
      </c>
      <c r="E188">
        <v>15000</v>
      </c>
      <c r="G188">
        <v>15000</v>
      </c>
      <c r="I188">
        <v>2025</v>
      </c>
      <c r="J188" t="s">
        <v>68</v>
      </c>
    </row>
    <row r="189" spans="1:10" x14ac:dyDescent="0.25">
      <c r="A189" t="s">
        <v>604</v>
      </c>
      <c r="B189" t="s">
        <v>411</v>
      </c>
      <c r="C189" t="s">
        <v>319</v>
      </c>
      <c r="D189" t="s">
        <v>424</v>
      </c>
      <c r="E189">
        <v>25000</v>
      </c>
      <c r="G189">
        <v>25000</v>
      </c>
      <c r="I189">
        <v>2025</v>
      </c>
      <c r="J189" t="s">
        <v>68</v>
      </c>
    </row>
    <row r="190" spans="1:10" x14ac:dyDescent="0.25">
      <c r="A190" t="s">
        <v>605</v>
      </c>
      <c r="B190" t="s">
        <v>411</v>
      </c>
      <c r="C190" t="s">
        <v>320</v>
      </c>
      <c r="D190" t="s">
        <v>424</v>
      </c>
      <c r="E190">
        <v>25000</v>
      </c>
      <c r="G190">
        <v>25000</v>
      </c>
      <c r="I190">
        <v>2025</v>
      </c>
      <c r="J190" t="s">
        <v>68</v>
      </c>
    </row>
    <row r="191" spans="1:10" x14ac:dyDescent="0.25">
      <c r="A191" t="s">
        <v>606</v>
      </c>
      <c r="B191" t="s">
        <v>411</v>
      </c>
      <c r="C191" t="s">
        <v>321</v>
      </c>
      <c r="D191" t="s">
        <v>424</v>
      </c>
      <c r="E191">
        <v>25000</v>
      </c>
      <c r="G191">
        <v>25000</v>
      </c>
      <c r="I191">
        <v>2025</v>
      </c>
      <c r="J191" t="s">
        <v>68</v>
      </c>
    </row>
    <row r="192" spans="1:10" x14ac:dyDescent="0.25">
      <c r="A192" t="s">
        <v>607</v>
      </c>
      <c r="B192" t="s">
        <v>411</v>
      </c>
      <c r="C192" t="s">
        <v>322</v>
      </c>
      <c r="D192" t="s">
        <v>424</v>
      </c>
      <c r="E192">
        <v>15000</v>
      </c>
      <c r="G192">
        <v>15000</v>
      </c>
      <c r="I192">
        <v>2025</v>
      </c>
      <c r="J192" t="s">
        <v>68</v>
      </c>
    </row>
    <row r="193" spans="1:10" x14ac:dyDescent="0.25">
      <c r="A193" t="s">
        <v>608</v>
      </c>
      <c r="B193" t="s">
        <v>411</v>
      </c>
      <c r="C193" t="s">
        <v>323</v>
      </c>
      <c r="D193" t="s">
        <v>424</v>
      </c>
      <c r="E193">
        <v>25000</v>
      </c>
      <c r="G193">
        <v>25000</v>
      </c>
      <c r="I193">
        <v>2025</v>
      </c>
      <c r="J193" t="s">
        <v>68</v>
      </c>
    </row>
    <row r="194" spans="1:10" x14ac:dyDescent="0.25">
      <c r="A194" t="s">
        <v>609</v>
      </c>
      <c r="B194" t="s">
        <v>411</v>
      </c>
      <c r="C194" t="s">
        <v>324</v>
      </c>
      <c r="D194" t="s">
        <v>424</v>
      </c>
      <c r="E194">
        <v>25000</v>
      </c>
      <c r="G194">
        <v>25000</v>
      </c>
      <c r="I194">
        <v>2025</v>
      </c>
      <c r="J194" t="s">
        <v>68</v>
      </c>
    </row>
    <row r="195" spans="1:10" x14ac:dyDescent="0.25">
      <c r="A195" t="s">
        <v>610</v>
      </c>
      <c r="B195" t="s">
        <v>411</v>
      </c>
      <c r="C195" t="s">
        <v>325</v>
      </c>
      <c r="D195" t="s">
        <v>424</v>
      </c>
      <c r="E195">
        <v>25000</v>
      </c>
      <c r="G195">
        <v>25000</v>
      </c>
      <c r="I195">
        <v>2025</v>
      </c>
      <c r="J195" t="s">
        <v>68</v>
      </c>
    </row>
    <row r="196" spans="1:10" x14ac:dyDescent="0.25">
      <c r="A196" t="s">
        <v>611</v>
      </c>
      <c r="B196" t="s">
        <v>411</v>
      </c>
      <c r="C196" t="s">
        <v>327</v>
      </c>
      <c r="D196" t="s">
        <v>424</v>
      </c>
      <c r="E196">
        <v>20000</v>
      </c>
      <c r="G196">
        <v>20000</v>
      </c>
      <c r="I196">
        <v>2025</v>
      </c>
      <c r="J196" t="s">
        <v>68</v>
      </c>
    </row>
    <row r="197" spans="1:10" x14ac:dyDescent="0.25">
      <c r="A197" t="s">
        <v>612</v>
      </c>
      <c r="B197" t="s">
        <v>411</v>
      </c>
      <c r="C197" t="s">
        <v>328</v>
      </c>
      <c r="D197" t="s">
        <v>613</v>
      </c>
      <c r="E197">
        <v>22000</v>
      </c>
      <c r="G197">
        <v>22000</v>
      </c>
      <c r="I197">
        <v>2025</v>
      </c>
      <c r="J197" t="s">
        <v>68</v>
      </c>
    </row>
    <row r="198" spans="1:10" x14ac:dyDescent="0.25">
      <c r="A198" t="s">
        <v>614</v>
      </c>
      <c r="B198" t="s">
        <v>411</v>
      </c>
      <c r="C198" t="s">
        <v>329</v>
      </c>
      <c r="D198" t="s">
        <v>613</v>
      </c>
      <c r="E198">
        <v>20000</v>
      </c>
      <c r="G198">
        <v>20000</v>
      </c>
      <c r="I198">
        <v>2025</v>
      </c>
      <c r="J198" t="s">
        <v>68</v>
      </c>
    </row>
    <row r="199" spans="1:10" x14ac:dyDescent="0.25">
      <c r="A199" t="s">
        <v>615</v>
      </c>
      <c r="B199" t="s">
        <v>411</v>
      </c>
      <c r="C199" t="s">
        <v>330</v>
      </c>
      <c r="D199" t="s">
        <v>613</v>
      </c>
      <c r="E199">
        <v>20000</v>
      </c>
      <c r="G199">
        <v>20000</v>
      </c>
      <c r="I199">
        <v>2025</v>
      </c>
      <c r="J199" t="s">
        <v>68</v>
      </c>
    </row>
    <row r="200" spans="1:10" x14ac:dyDescent="0.25">
      <c r="A200" t="s">
        <v>616</v>
      </c>
      <c r="B200" t="s">
        <v>411</v>
      </c>
      <c r="C200" t="s">
        <v>331</v>
      </c>
      <c r="D200" t="s">
        <v>613</v>
      </c>
      <c r="E200">
        <v>20000</v>
      </c>
      <c r="G200">
        <v>20000</v>
      </c>
      <c r="I200">
        <v>2025</v>
      </c>
      <c r="J200" t="s">
        <v>68</v>
      </c>
    </row>
    <row r="201" spans="1:10" x14ac:dyDescent="0.25">
      <c r="A201" t="s">
        <v>617</v>
      </c>
      <c r="B201" t="s">
        <v>411</v>
      </c>
      <c r="C201" t="s">
        <v>332</v>
      </c>
      <c r="D201" t="s">
        <v>613</v>
      </c>
      <c r="E201">
        <v>20000</v>
      </c>
      <c r="G201">
        <v>20000</v>
      </c>
      <c r="I201">
        <v>2025</v>
      </c>
      <c r="J201" t="s">
        <v>68</v>
      </c>
    </row>
    <row r="202" spans="1:10" x14ac:dyDescent="0.25">
      <c r="A202" t="s">
        <v>618</v>
      </c>
      <c r="B202" t="s">
        <v>411</v>
      </c>
      <c r="C202" t="s">
        <v>333</v>
      </c>
      <c r="D202" t="s">
        <v>613</v>
      </c>
      <c r="E202">
        <v>25000</v>
      </c>
      <c r="G202">
        <v>25000</v>
      </c>
      <c r="I202">
        <v>2025</v>
      </c>
      <c r="J202" t="s">
        <v>68</v>
      </c>
    </row>
    <row r="203" spans="1:10" x14ac:dyDescent="0.25">
      <c r="A203" t="s">
        <v>619</v>
      </c>
      <c r="B203" t="s">
        <v>411</v>
      </c>
      <c r="C203" t="s">
        <v>334</v>
      </c>
      <c r="D203" t="s">
        <v>613</v>
      </c>
      <c r="E203">
        <v>25000</v>
      </c>
      <c r="G203">
        <v>25000</v>
      </c>
      <c r="I203">
        <v>2025</v>
      </c>
      <c r="J203" t="s">
        <v>68</v>
      </c>
    </row>
    <row r="204" spans="1:10" x14ac:dyDescent="0.25">
      <c r="A204" t="s">
        <v>620</v>
      </c>
      <c r="B204" t="s">
        <v>411</v>
      </c>
      <c r="C204" t="s">
        <v>335</v>
      </c>
      <c r="D204" t="s">
        <v>613</v>
      </c>
      <c r="E204">
        <v>25000</v>
      </c>
      <c r="G204">
        <v>25000</v>
      </c>
      <c r="I204">
        <v>2025</v>
      </c>
      <c r="J204" t="s">
        <v>68</v>
      </c>
    </row>
    <row r="205" spans="1:10" x14ac:dyDescent="0.25">
      <c r="A205" t="s">
        <v>621</v>
      </c>
      <c r="B205" t="s">
        <v>411</v>
      </c>
      <c r="C205" t="s">
        <v>336</v>
      </c>
      <c r="D205" t="s">
        <v>613</v>
      </c>
      <c r="E205">
        <v>25000</v>
      </c>
      <c r="G205">
        <v>25000</v>
      </c>
      <c r="I205">
        <v>2025</v>
      </c>
      <c r="J205" t="s">
        <v>68</v>
      </c>
    </row>
    <row r="206" spans="1:10" x14ac:dyDescent="0.25">
      <c r="A206" t="s">
        <v>622</v>
      </c>
      <c r="B206" t="s">
        <v>411</v>
      </c>
      <c r="C206" t="s">
        <v>337</v>
      </c>
      <c r="D206" t="s">
        <v>613</v>
      </c>
      <c r="E206">
        <v>35000</v>
      </c>
      <c r="G206">
        <v>35000</v>
      </c>
      <c r="I206">
        <v>2025</v>
      </c>
      <c r="J206" t="s">
        <v>68</v>
      </c>
    </row>
    <row r="207" spans="1:10" x14ac:dyDescent="0.25">
      <c r="A207" t="s">
        <v>623</v>
      </c>
      <c r="B207" t="s">
        <v>411</v>
      </c>
      <c r="C207" t="s">
        <v>338</v>
      </c>
      <c r="D207" t="s">
        <v>613</v>
      </c>
      <c r="E207">
        <v>13000</v>
      </c>
      <c r="G207">
        <v>13000</v>
      </c>
      <c r="I207">
        <v>2025</v>
      </c>
      <c r="J207" t="s">
        <v>68</v>
      </c>
    </row>
    <row r="208" spans="1:10" x14ac:dyDescent="0.25">
      <c r="A208" t="s">
        <v>624</v>
      </c>
      <c r="B208" t="s">
        <v>411</v>
      </c>
      <c r="C208" t="s">
        <v>339</v>
      </c>
      <c r="D208" t="s">
        <v>613</v>
      </c>
      <c r="E208">
        <v>13000</v>
      </c>
      <c r="G208">
        <v>13000</v>
      </c>
      <c r="I208">
        <v>2025</v>
      </c>
      <c r="J208" t="s">
        <v>68</v>
      </c>
    </row>
    <row r="209" spans="1:10" x14ac:dyDescent="0.25">
      <c r="A209" t="s">
        <v>625</v>
      </c>
      <c r="B209" t="s">
        <v>411</v>
      </c>
      <c r="C209" t="s">
        <v>340</v>
      </c>
      <c r="D209" t="s">
        <v>613</v>
      </c>
      <c r="E209">
        <v>10000</v>
      </c>
      <c r="G209">
        <v>10000</v>
      </c>
      <c r="I209">
        <v>2025</v>
      </c>
      <c r="J209" t="s">
        <v>68</v>
      </c>
    </row>
    <row r="210" spans="1:10" x14ac:dyDescent="0.25">
      <c r="A210" t="s">
        <v>626</v>
      </c>
      <c r="B210" t="s">
        <v>411</v>
      </c>
      <c r="C210" t="s">
        <v>341</v>
      </c>
      <c r="D210" t="s">
        <v>613</v>
      </c>
      <c r="E210">
        <v>20000</v>
      </c>
      <c r="G210">
        <v>20000</v>
      </c>
      <c r="I210">
        <v>2025</v>
      </c>
      <c r="J210" t="s">
        <v>68</v>
      </c>
    </row>
    <row r="211" spans="1:10" x14ac:dyDescent="0.25">
      <c r="A211" t="s">
        <v>627</v>
      </c>
      <c r="B211" t="s">
        <v>411</v>
      </c>
      <c r="C211" t="s">
        <v>342</v>
      </c>
      <c r="D211" t="s">
        <v>613</v>
      </c>
      <c r="E211">
        <v>13000</v>
      </c>
      <c r="G211">
        <v>13000</v>
      </c>
      <c r="I211">
        <v>2025</v>
      </c>
      <c r="J211" t="s">
        <v>68</v>
      </c>
    </row>
    <row r="212" spans="1:10" x14ac:dyDescent="0.25">
      <c r="A212" t="s">
        <v>628</v>
      </c>
      <c r="B212" t="s">
        <v>411</v>
      </c>
      <c r="C212" t="s">
        <v>343</v>
      </c>
      <c r="D212" t="s">
        <v>613</v>
      </c>
      <c r="E212">
        <v>11000</v>
      </c>
      <c r="G212">
        <v>11000</v>
      </c>
      <c r="I212">
        <v>2025</v>
      </c>
      <c r="J212" t="s">
        <v>68</v>
      </c>
    </row>
    <row r="213" spans="1:10" x14ac:dyDescent="0.25">
      <c r="A213" t="s">
        <v>629</v>
      </c>
      <c r="B213" t="s">
        <v>411</v>
      </c>
      <c r="C213" t="s">
        <v>344</v>
      </c>
      <c r="D213" t="s">
        <v>613</v>
      </c>
      <c r="E213">
        <v>15000</v>
      </c>
      <c r="G213">
        <v>15000</v>
      </c>
      <c r="I213">
        <v>2025</v>
      </c>
      <c r="J213" t="s">
        <v>68</v>
      </c>
    </row>
    <row r="214" spans="1:10" x14ac:dyDescent="0.25">
      <c r="A214" t="s">
        <v>630</v>
      </c>
      <c r="B214" t="s">
        <v>411</v>
      </c>
      <c r="C214" t="s">
        <v>345</v>
      </c>
      <c r="D214" t="s">
        <v>613</v>
      </c>
      <c r="E214">
        <v>25000</v>
      </c>
      <c r="G214">
        <v>25000</v>
      </c>
      <c r="I214">
        <v>2025</v>
      </c>
      <c r="J214" t="s">
        <v>68</v>
      </c>
    </row>
    <row r="215" spans="1:10" x14ac:dyDescent="0.25">
      <c r="A215" t="s">
        <v>631</v>
      </c>
      <c r="B215" t="s">
        <v>411</v>
      </c>
      <c r="C215" t="s">
        <v>347</v>
      </c>
      <c r="D215" t="s">
        <v>613</v>
      </c>
      <c r="E215">
        <v>25000</v>
      </c>
      <c r="G215">
        <v>25000</v>
      </c>
      <c r="I215">
        <v>2025</v>
      </c>
      <c r="J215" t="s">
        <v>68</v>
      </c>
    </row>
    <row r="216" spans="1:10" x14ac:dyDescent="0.25">
      <c r="A216" t="s">
        <v>632</v>
      </c>
      <c r="B216" t="s">
        <v>411</v>
      </c>
      <c r="C216" t="s">
        <v>348</v>
      </c>
      <c r="D216" t="s">
        <v>613</v>
      </c>
      <c r="E216">
        <v>15000</v>
      </c>
      <c r="G216">
        <v>15000</v>
      </c>
      <c r="I216">
        <v>2025</v>
      </c>
      <c r="J216" t="s">
        <v>68</v>
      </c>
    </row>
    <row r="217" spans="1:10" x14ac:dyDescent="0.25">
      <c r="A217" t="s">
        <v>633</v>
      </c>
      <c r="B217" t="s">
        <v>411</v>
      </c>
      <c r="C217" t="s">
        <v>349</v>
      </c>
      <c r="D217" t="s">
        <v>613</v>
      </c>
      <c r="E217">
        <v>15000</v>
      </c>
      <c r="G217">
        <v>15000</v>
      </c>
      <c r="I217">
        <v>2025</v>
      </c>
      <c r="J217" t="s">
        <v>68</v>
      </c>
    </row>
    <row r="218" spans="1:10" x14ac:dyDescent="0.25">
      <c r="A218" t="s">
        <v>634</v>
      </c>
      <c r="B218" t="s">
        <v>411</v>
      </c>
      <c r="C218" t="s">
        <v>350</v>
      </c>
      <c r="D218" t="s">
        <v>613</v>
      </c>
      <c r="E218">
        <v>15000</v>
      </c>
      <c r="G218">
        <v>15000</v>
      </c>
      <c r="I218">
        <v>2025</v>
      </c>
      <c r="J218" t="s">
        <v>68</v>
      </c>
    </row>
    <row r="219" spans="1:10" x14ac:dyDescent="0.25">
      <c r="A219" t="s">
        <v>635</v>
      </c>
      <c r="B219" t="s">
        <v>411</v>
      </c>
      <c r="C219" t="s">
        <v>351</v>
      </c>
      <c r="D219" t="s">
        <v>613</v>
      </c>
      <c r="E219">
        <v>15000</v>
      </c>
      <c r="G219">
        <v>15000</v>
      </c>
      <c r="I219">
        <v>2025</v>
      </c>
      <c r="J219" t="s">
        <v>68</v>
      </c>
    </row>
    <row r="220" spans="1:10" x14ac:dyDescent="0.25">
      <c r="A220" t="s">
        <v>636</v>
      </c>
      <c r="B220" t="s">
        <v>411</v>
      </c>
      <c r="C220" t="s">
        <v>352</v>
      </c>
      <c r="D220" t="s">
        <v>613</v>
      </c>
      <c r="E220">
        <v>7000</v>
      </c>
      <c r="G220">
        <v>7000</v>
      </c>
      <c r="I220">
        <v>2025</v>
      </c>
      <c r="J220" t="s">
        <v>68</v>
      </c>
    </row>
    <row r="221" spans="1:10" x14ac:dyDescent="0.25">
      <c r="A221" t="s">
        <v>637</v>
      </c>
      <c r="B221" t="s">
        <v>411</v>
      </c>
      <c r="C221" t="s">
        <v>346</v>
      </c>
      <c r="D221" t="s">
        <v>613</v>
      </c>
      <c r="E221">
        <v>8000</v>
      </c>
      <c r="G221">
        <v>8000</v>
      </c>
      <c r="I221">
        <v>2025</v>
      </c>
      <c r="J221" t="s">
        <v>68</v>
      </c>
    </row>
    <row r="222" spans="1:10" x14ac:dyDescent="0.25">
      <c r="A222" t="s">
        <v>638</v>
      </c>
      <c r="B222" t="s">
        <v>411</v>
      </c>
      <c r="C222" t="s">
        <v>354</v>
      </c>
      <c r="D222" t="s">
        <v>613</v>
      </c>
      <c r="E222">
        <v>10000</v>
      </c>
      <c r="G222">
        <v>10000</v>
      </c>
      <c r="I222">
        <v>2025</v>
      </c>
      <c r="J222" t="s">
        <v>68</v>
      </c>
    </row>
    <row r="223" spans="1:10" x14ac:dyDescent="0.25">
      <c r="A223" t="s">
        <v>639</v>
      </c>
      <c r="B223" t="s">
        <v>411</v>
      </c>
      <c r="C223" t="s">
        <v>355</v>
      </c>
      <c r="D223" t="s">
        <v>613</v>
      </c>
      <c r="E223">
        <v>9000</v>
      </c>
      <c r="G223">
        <v>9000</v>
      </c>
      <c r="I223">
        <v>2025</v>
      </c>
      <c r="J223" t="s">
        <v>68</v>
      </c>
    </row>
    <row r="224" spans="1:10" x14ac:dyDescent="0.25">
      <c r="A224" t="s">
        <v>640</v>
      </c>
      <c r="B224" t="s">
        <v>411</v>
      </c>
      <c r="C224" t="s">
        <v>271</v>
      </c>
      <c r="D224" t="s">
        <v>613</v>
      </c>
      <c r="E224">
        <v>10000</v>
      </c>
      <c r="G224">
        <v>10000</v>
      </c>
      <c r="I224">
        <v>2025</v>
      </c>
      <c r="J224" t="s">
        <v>68</v>
      </c>
    </row>
    <row r="225" spans="1:10" x14ac:dyDescent="0.25">
      <c r="A225" t="s">
        <v>641</v>
      </c>
      <c r="B225" t="s">
        <v>411</v>
      </c>
      <c r="C225" t="s">
        <v>357</v>
      </c>
      <c r="D225" t="s">
        <v>613</v>
      </c>
      <c r="E225">
        <v>6000</v>
      </c>
      <c r="G225">
        <v>6000</v>
      </c>
      <c r="I225">
        <v>2025</v>
      </c>
      <c r="J225" t="s">
        <v>68</v>
      </c>
    </row>
    <row r="226" spans="1:10" x14ac:dyDescent="0.25">
      <c r="A226" t="s">
        <v>642</v>
      </c>
      <c r="B226" t="s">
        <v>411</v>
      </c>
      <c r="C226" t="s">
        <v>358</v>
      </c>
      <c r="D226" t="s">
        <v>613</v>
      </c>
      <c r="E226">
        <v>15000</v>
      </c>
      <c r="G226">
        <v>15000</v>
      </c>
      <c r="I226">
        <v>2025</v>
      </c>
      <c r="J226" t="s">
        <v>68</v>
      </c>
    </row>
    <row r="227" spans="1:10" x14ac:dyDescent="0.25">
      <c r="A227" t="s">
        <v>643</v>
      </c>
      <c r="B227" t="s">
        <v>411</v>
      </c>
      <c r="C227" t="s">
        <v>359</v>
      </c>
      <c r="D227" t="s">
        <v>613</v>
      </c>
      <c r="E227">
        <v>30000</v>
      </c>
      <c r="G227">
        <v>30000</v>
      </c>
      <c r="I227">
        <v>2025</v>
      </c>
      <c r="J227" t="s">
        <v>68</v>
      </c>
    </row>
    <row r="228" spans="1:10" x14ac:dyDescent="0.25">
      <c r="A228" t="s">
        <v>644</v>
      </c>
      <c r="B228" t="s">
        <v>411</v>
      </c>
      <c r="C228" t="s">
        <v>360</v>
      </c>
      <c r="D228" t="s">
        <v>613</v>
      </c>
      <c r="E228">
        <v>20000</v>
      </c>
      <c r="G228">
        <v>20000</v>
      </c>
      <c r="I228">
        <v>2025</v>
      </c>
      <c r="J228" t="s">
        <v>68</v>
      </c>
    </row>
    <row r="229" spans="1:10" x14ac:dyDescent="0.25">
      <c r="A229" t="s">
        <v>645</v>
      </c>
      <c r="B229" t="s">
        <v>411</v>
      </c>
      <c r="C229" t="s">
        <v>361</v>
      </c>
      <c r="D229" t="s">
        <v>613</v>
      </c>
      <c r="E229">
        <v>10000</v>
      </c>
      <c r="G229">
        <v>10000</v>
      </c>
      <c r="I229">
        <v>2025</v>
      </c>
      <c r="J229" t="s">
        <v>68</v>
      </c>
    </row>
    <row r="230" spans="1:10" x14ac:dyDescent="0.25">
      <c r="A230" t="s">
        <v>646</v>
      </c>
      <c r="B230" t="s">
        <v>411</v>
      </c>
      <c r="C230" t="s">
        <v>362</v>
      </c>
      <c r="D230" t="s">
        <v>613</v>
      </c>
      <c r="E230">
        <v>10000</v>
      </c>
      <c r="G230">
        <v>10000</v>
      </c>
      <c r="I230">
        <v>2025</v>
      </c>
      <c r="J230" t="s">
        <v>68</v>
      </c>
    </row>
    <row r="231" spans="1:10" x14ac:dyDescent="0.25">
      <c r="A231" t="s">
        <v>647</v>
      </c>
      <c r="B231" t="s">
        <v>411</v>
      </c>
      <c r="C231" t="s">
        <v>363</v>
      </c>
      <c r="D231" t="s">
        <v>613</v>
      </c>
      <c r="E231">
        <v>10000</v>
      </c>
      <c r="G231">
        <v>10000</v>
      </c>
      <c r="I231">
        <v>2025</v>
      </c>
      <c r="J231" t="s">
        <v>68</v>
      </c>
    </row>
    <row r="232" spans="1:10" x14ac:dyDescent="0.25">
      <c r="A232" t="s">
        <v>648</v>
      </c>
      <c r="B232" t="s">
        <v>411</v>
      </c>
      <c r="C232" t="s">
        <v>364</v>
      </c>
      <c r="D232" t="s">
        <v>613</v>
      </c>
      <c r="E232">
        <v>10000</v>
      </c>
      <c r="G232">
        <v>10000</v>
      </c>
      <c r="I232">
        <v>2025</v>
      </c>
      <c r="J232" t="s">
        <v>68</v>
      </c>
    </row>
    <row r="233" spans="1:10" x14ac:dyDescent="0.25">
      <c r="A233" t="s">
        <v>649</v>
      </c>
      <c r="B233" t="s">
        <v>411</v>
      </c>
      <c r="C233" t="s">
        <v>365</v>
      </c>
      <c r="D233" t="s">
        <v>613</v>
      </c>
      <c r="E233">
        <v>12000</v>
      </c>
      <c r="G233">
        <v>12000</v>
      </c>
      <c r="I233">
        <v>2025</v>
      </c>
      <c r="J233" t="s">
        <v>68</v>
      </c>
    </row>
    <row r="234" spans="1:10" x14ac:dyDescent="0.25">
      <c r="A234" t="s">
        <v>650</v>
      </c>
      <c r="B234" t="s">
        <v>411</v>
      </c>
      <c r="C234" t="s">
        <v>651</v>
      </c>
      <c r="D234" t="s">
        <v>613</v>
      </c>
      <c r="E234">
        <v>9000</v>
      </c>
      <c r="G234">
        <v>9000</v>
      </c>
      <c r="I234">
        <v>2025</v>
      </c>
      <c r="J234" t="s">
        <v>68</v>
      </c>
    </row>
    <row r="235" spans="1:10" x14ac:dyDescent="0.25">
      <c r="A235" t="s">
        <v>652</v>
      </c>
      <c r="B235" t="s">
        <v>411</v>
      </c>
      <c r="C235" t="s">
        <v>653</v>
      </c>
      <c r="D235" t="s">
        <v>613</v>
      </c>
      <c r="E235">
        <v>20000</v>
      </c>
      <c r="G235">
        <v>20000</v>
      </c>
      <c r="I235">
        <v>2025</v>
      </c>
      <c r="J235" t="s">
        <v>68</v>
      </c>
    </row>
    <row r="236" spans="1:10" x14ac:dyDescent="0.25">
      <c r="A236" t="s">
        <v>654</v>
      </c>
      <c r="B236" t="s">
        <v>411</v>
      </c>
      <c r="C236" t="s">
        <v>370</v>
      </c>
      <c r="D236" t="s">
        <v>613</v>
      </c>
      <c r="E236">
        <v>13500</v>
      </c>
      <c r="G236">
        <v>13500</v>
      </c>
      <c r="I236">
        <v>2025</v>
      </c>
      <c r="J236" t="s">
        <v>68</v>
      </c>
    </row>
    <row r="237" spans="1:10" x14ac:dyDescent="0.25">
      <c r="A237" t="s">
        <v>655</v>
      </c>
      <c r="B237" t="s">
        <v>411</v>
      </c>
      <c r="C237" t="s">
        <v>372</v>
      </c>
      <c r="D237" t="s">
        <v>613</v>
      </c>
      <c r="E237">
        <v>20000</v>
      </c>
      <c r="G237">
        <v>20000</v>
      </c>
      <c r="I237">
        <v>2025</v>
      </c>
      <c r="J237" t="s">
        <v>68</v>
      </c>
    </row>
    <row r="238" spans="1:10" x14ac:dyDescent="0.25">
      <c r="A238" t="s">
        <v>656</v>
      </c>
      <c r="B238" t="s">
        <v>411</v>
      </c>
      <c r="C238" t="s">
        <v>373</v>
      </c>
      <c r="D238" t="s">
        <v>613</v>
      </c>
      <c r="E238">
        <v>45000</v>
      </c>
      <c r="G238">
        <v>45000</v>
      </c>
      <c r="I238">
        <v>2025</v>
      </c>
      <c r="J238" t="s">
        <v>68</v>
      </c>
    </row>
    <row r="239" spans="1:10" x14ac:dyDescent="0.25">
      <c r="A239" t="s">
        <v>657</v>
      </c>
      <c r="B239" t="s">
        <v>411</v>
      </c>
      <c r="C239" t="s">
        <v>374</v>
      </c>
      <c r="D239" t="s">
        <v>613</v>
      </c>
      <c r="E239">
        <v>45000</v>
      </c>
      <c r="G239">
        <v>45000</v>
      </c>
      <c r="I239">
        <v>2025</v>
      </c>
      <c r="J239" t="s">
        <v>68</v>
      </c>
    </row>
    <row r="240" spans="1:10" x14ac:dyDescent="0.25">
      <c r="A240" t="s">
        <v>658</v>
      </c>
      <c r="B240" t="s">
        <v>411</v>
      </c>
      <c r="C240" t="s">
        <v>375</v>
      </c>
      <c r="D240" t="s">
        <v>613</v>
      </c>
      <c r="E240">
        <v>45000</v>
      </c>
      <c r="G240">
        <v>45000</v>
      </c>
      <c r="I240">
        <v>2025</v>
      </c>
      <c r="J240" t="s">
        <v>68</v>
      </c>
    </row>
    <row r="241" spans="1:10" x14ac:dyDescent="0.25">
      <c r="A241" t="s">
        <v>659</v>
      </c>
      <c r="B241" t="s">
        <v>411</v>
      </c>
      <c r="C241" t="s">
        <v>376</v>
      </c>
      <c r="D241" t="s">
        <v>613</v>
      </c>
      <c r="E241">
        <v>25000</v>
      </c>
      <c r="G241">
        <v>25000</v>
      </c>
      <c r="I241">
        <v>2025</v>
      </c>
      <c r="J241" t="s">
        <v>68</v>
      </c>
    </row>
    <row r="242" spans="1:10" x14ac:dyDescent="0.25">
      <c r="A242" t="s">
        <v>660</v>
      </c>
      <c r="B242" t="s">
        <v>411</v>
      </c>
      <c r="C242" t="s">
        <v>377</v>
      </c>
      <c r="D242" t="s">
        <v>613</v>
      </c>
      <c r="E242">
        <v>25000</v>
      </c>
      <c r="G242">
        <v>25000</v>
      </c>
      <c r="I242">
        <v>2025</v>
      </c>
      <c r="J242" t="s">
        <v>68</v>
      </c>
    </row>
    <row r="243" spans="1:10" x14ac:dyDescent="0.25">
      <c r="A243" t="s">
        <v>661</v>
      </c>
      <c r="B243" t="s">
        <v>411</v>
      </c>
      <c r="C243" t="s">
        <v>378</v>
      </c>
      <c r="D243" t="s">
        <v>613</v>
      </c>
      <c r="E243">
        <v>25000</v>
      </c>
      <c r="G243">
        <v>25000</v>
      </c>
      <c r="I243">
        <v>2025</v>
      </c>
      <c r="J243" t="s">
        <v>68</v>
      </c>
    </row>
    <row r="244" spans="1:10" x14ac:dyDescent="0.25">
      <c r="A244" t="s">
        <v>662</v>
      </c>
      <c r="B244" t="s">
        <v>411</v>
      </c>
      <c r="C244" t="s">
        <v>379</v>
      </c>
      <c r="D244" t="s">
        <v>613</v>
      </c>
      <c r="E244">
        <v>25000</v>
      </c>
      <c r="G244">
        <v>25000</v>
      </c>
      <c r="I244">
        <v>2025</v>
      </c>
      <c r="J244" t="s">
        <v>68</v>
      </c>
    </row>
    <row r="245" spans="1:10" x14ac:dyDescent="0.25">
      <c r="A245" t="s">
        <v>663</v>
      </c>
      <c r="B245" t="s">
        <v>411</v>
      </c>
      <c r="C245" t="s">
        <v>380</v>
      </c>
      <c r="D245" t="s">
        <v>613</v>
      </c>
      <c r="E245">
        <v>15000</v>
      </c>
      <c r="G245">
        <v>15000</v>
      </c>
      <c r="I245">
        <v>2025</v>
      </c>
      <c r="J245" t="s">
        <v>68</v>
      </c>
    </row>
    <row r="246" spans="1:10" x14ac:dyDescent="0.25">
      <c r="A246" t="s">
        <v>664</v>
      </c>
      <c r="B246" t="s">
        <v>411</v>
      </c>
      <c r="C246" t="s">
        <v>381</v>
      </c>
      <c r="D246" t="s">
        <v>613</v>
      </c>
      <c r="E246">
        <v>0</v>
      </c>
      <c r="G246">
        <v>0</v>
      </c>
      <c r="I246">
        <v>2025</v>
      </c>
      <c r="J246" t="s">
        <v>68</v>
      </c>
    </row>
    <row r="247" spans="1:10" x14ac:dyDescent="0.25">
      <c r="A247" t="s">
        <v>665</v>
      </c>
      <c r="B247" t="s">
        <v>411</v>
      </c>
      <c r="C247" t="s">
        <v>382</v>
      </c>
      <c r="D247" t="s">
        <v>613</v>
      </c>
      <c r="E247">
        <v>30000</v>
      </c>
      <c r="G247">
        <v>30000</v>
      </c>
      <c r="I247">
        <v>2025</v>
      </c>
      <c r="J247" t="s">
        <v>68</v>
      </c>
    </row>
    <row r="248" spans="1:10" x14ac:dyDescent="0.25">
      <c r="A248" t="s">
        <v>666</v>
      </c>
      <c r="B248" t="s">
        <v>411</v>
      </c>
      <c r="C248" t="s">
        <v>384</v>
      </c>
      <c r="D248" t="s">
        <v>613</v>
      </c>
      <c r="E248">
        <v>15000</v>
      </c>
      <c r="G248">
        <v>15000</v>
      </c>
      <c r="I248">
        <v>2025</v>
      </c>
      <c r="J248" t="s">
        <v>68</v>
      </c>
    </row>
    <row r="249" spans="1:10" x14ac:dyDescent="0.25">
      <c r="A249" t="s">
        <v>667</v>
      </c>
      <c r="B249" t="s">
        <v>411</v>
      </c>
      <c r="C249" t="s">
        <v>385</v>
      </c>
      <c r="D249" t="s">
        <v>613</v>
      </c>
      <c r="E249">
        <v>15000</v>
      </c>
      <c r="G249">
        <v>15000</v>
      </c>
      <c r="I249">
        <v>2025</v>
      </c>
      <c r="J249" t="s">
        <v>68</v>
      </c>
    </row>
    <row r="250" spans="1:10" x14ac:dyDescent="0.25">
      <c r="A250" t="s">
        <v>668</v>
      </c>
      <c r="B250" t="s">
        <v>411</v>
      </c>
      <c r="C250" t="s">
        <v>669</v>
      </c>
      <c r="D250" t="s">
        <v>613</v>
      </c>
      <c r="E250">
        <v>12000</v>
      </c>
      <c r="G250">
        <v>12000</v>
      </c>
      <c r="I250">
        <v>2025</v>
      </c>
      <c r="J250" t="s">
        <v>68</v>
      </c>
    </row>
    <row r="251" spans="1:10" x14ac:dyDescent="0.25">
      <c r="A251" t="s">
        <v>670</v>
      </c>
      <c r="B251" t="s">
        <v>411</v>
      </c>
      <c r="C251" t="s">
        <v>387</v>
      </c>
      <c r="D251" t="s">
        <v>613</v>
      </c>
      <c r="E251">
        <v>10000</v>
      </c>
      <c r="G251">
        <v>10000</v>
      </c>
      <c r="I251">
        <v>2025</v>
      </c>
      <c r="J251" t="s">
        <v>68</v>
      </c>
    </row>
    <row r="252" spans="1:10" x14ac:dyDescent="0.25">
      <c r="A252" t="s">
        <v>671</v>
      </c>
      <c r="B252" t="s">
        <v>411</v>
      </c>
      <c r="C252" t="s">
        <v>388</v>
      </c>
      <c r="D252" t="s">
        <v>613</v>
      </c>
      <c r="E252">
        <v>15000</v>
      </c>
      <c r="G252">
        <v>15000</v>
      </c>
      <c r="I252">
        <v>2025</v>
      </c>
      <c r="J252" t="s">
        <v>68</v>
      </c>
    </row>
    <row r="253" spans="1:10" x14ac:dyDescent="0.25">
      <c r="A253" t="s">
        <v>672</v>
      </c>
      <c r="B253" t="s">
        <v>411</v>
      </c>
      <c r="C253" t="s">
        <v>389</v>
      </c>
      <c r="D253" t="s">
        <v>613</v>
      </c>
      <c r="E253">
        <v>15000</v>
      </c>
      <c r="G253">
        <v>15000</v>
      </c>
      <c r="I253">
        <v>2025</v>
      </c>
      <c r="J253" t="s">
        <v>68</v>
      </c>
    </row>
    <row r="254" spans="1:10" x14ac:dyDescent="0.25">
      <c r="A254" t="s">
        <v>673</v>
      </c>
      <c r="B254" t="s">
        <v>411</v>
      </c>
      <c r="C254" t="s">
        <v>390</v>
      </c>
      <c r="D254" t="s">
        <v>613</v>
      </c>
      <c r="E254">
        <v>15000</v>
      </c>
      <c r="G254">
        <v>15000</v>
      </c>
      <c r="I254">
        <v>2025</v>
      </c>
      <c r="J254" t="s">
        <v>68</v>
      </c>
    </row>
    <row r="255" spans="1:10" x14ac:dyDescent="0.25">
      <c r="A255" t="s">
        <v>674</v>
      </c>
      <c r="B255" t="s">
        <v>411</v>
      </c>
      <c r="C255" t="s">
        <v>391</v>
      </c>
      <c r="D255" t="s">
        <v>613</v>
      </c>
      <c r="E255">
        <v>15000</v>
      </c>
      <c r="G255">
        <v>15000</v>
      </c>
      <c r="I255">
        <v>2025</v>
      </c>
      <c r="J255" t="s">
        <v>68</v>
      </c>
    </row>
    <row r="256" spans="1:10" x14ac:dyDescent="0.25">
      <c r="A256" t="s">
        <v>675</v>
      </c>
      <c r="B256" t="s">
        <v>411</v>
      </c>
      <c r="C256" t="s">
        <v>392</v>
      </c>
      <c r="D256" t="s">
        <v>613</v>
      </c>
      <c r="E256">
        <v>15000</v>
      </c>
      <c r="G256">
        <v>15000</v>
      </c>
      <c r="I256">
        <v>2025</v>
      </c>
      <c r="J256" t="s">
        <v>68</v>
      </c>
    </row>
    <row r="257" spans="1:10" x14ac:dyDescent="0.25">
      <c r="A257" t="s">
        <v>676</v>
      </c>
      <c r="B257" t="s">
        <v>411</v>
      </c>
      <c r="C257" t="s">
        <v>393</v>
      </c>
      <c r="D257" t="s">
        <v>613</v>
      </c>
      <c r="E257">
        <v>14000</v>
      </c>
      <c r="G257">
        <v>14000</v>
      </c>
      <c r="I257">
        <v>2025</v>
      </c>
      <c r="J257" t="s">
        <v>68</v>
      </c>
    </row>
    <row r="258" spans="1:10" x14ac:dyDescent="0.25">
      <c r="A258" t="s">
        <v>677</v>
      </c>
      <c r="B258" t="s">
        <v>411</v>
      </c>
      <c r="C258" t="s">
        <v>384</v>
      </c>
      <c r="D258" t="s">
        <v>613</v>
      </c>
      <c r="E258">
        <v>14000</v>
      </c>
      <c r="G258">
        <v>14000</v>
      </c>
      <c r="I258">
        <v>2025</v>
      </c>
      <c r="J258" t="s">
        <v>68</v>
      </c>
    </row>
    <row r="259" spans="1:10" x14ac:dyDescent="0.25">
      <c r="A259" t="s">
        <v>678</v>
      </c>
      <c r="B259" t="s">
        <v>411</v>
      </c>
      <c r="C259" t="s">
        <v>395</v>
      </c>
      <c r="D259" t="s">
        <v>613</v>
      </c>
      <c r="E259">
        <v>14000</v>
      </c>
      <c r="G259">
        <v>14000</v>
      </c>
      <c r="I259">
        <v>2025</v>
      </c>
      <c r="J259" t="s">
        <v>68</v>
      </c>
    </row>
    <row r="260" spans="1:10" x14ac:dyDescent="0.25">
      <c r="A260" t="s">
        <v>679</v>
      </c>
      <c r="B260" t="s">
        <v>411</v>
      </c>
      <c r="C260" t="s">
        <v>396</v>
      </c>
      <c r="D260" t="s">
        <v>613</v>
      </c>
      <c r="E260">
        <v>14000</v>
      </c>
      <c r="G260">
        <v>14000</v>
      </c>
      <c r="I260">
        <v>2025</v>
      </c>
      <c r="J260" t="s">
        <v>68</v>
      </c>
    </row>
    <row r="261" spans="1:10" x14ac:dyDescent="0.25">
      <c r="A261" t="s">
        <v>680</v>
      </c>
      <c r="B261" t="s">
        <v>411</v>
      </c>
      <c r="C261" t="s">
        <v>397</v>
      </c>
      <c r="D261" t="s">
        <v>613</v>
      </c>
      <c r="E261">
        <v>33000</v>
      </c>
      <c r="G261">
        <v>33000</v>
      </c>
      <c r="I261">
        <v>2025</v>
      </c>
      <c r="J261" t="s">
        <v>68</v>
      </c>
    </row>
    <row r="262" spans="1:10" x14ac:dyDescent="0.25">
      <c r="A262" t="s">
        <v>681</v>
      </c>
      <c r="B262" t="s">
        <v>411</v>
      </c>
      <c r="C262" t="s">
        <v>398</v>
      </c>
      <c r="D262" t="s">
        <v>613</v>
      </c>
      <c r="E262">
        <v>33000</v>
      </c>
      <c r="G262">
        <v>33000</v>
      </c>
      <c r="I262">
        <v>2025</v>
      </c>
      <c r="J262" t="s">
        <v>68</v>
      </c>
    </row>
    <row r="263" spans="1:10" x14ac:dyDescent="0.25">
      <c r="A263" t="s">
        <v>682</v>
      </c>
      <c r="B263" t="s">
        <v>411</v>
      </c>
      <c r="C263" t="s">
        <v>400</v>
      </c>
      <c r="D263" t="s">
        <v>613</v>
      </c>
      <c r="E263">
        <v>33000</v>
      </c>
      <c r="G263">
        <v>33000</v>
      </c>
      <c r="I263">
        <v>2025</v>
      </c>
      <c r="J263" t="s">
        <v>68</v>
      </c>
    </row>
    <row r="264" spans="1:10" x14ac:dyDescent="0.25">
      <c r="A264" t="s">
        <v>683</v>
      </c>
      <c r="B264" t="s">
        <v>411</v>
      </c>
      <c r="C264" t="s">
        <v>401</v>
      </c>
      <c r="D264" t="s">
        <v>613</v>
      </c>
      <c r="E264">
        <v>29000</v>
      </c>
      <c r="G264">
        <v>29000</v>
      </c>
      <c r="I264">
        <v>2025</v>
      </c>
      <c r="J264" t="s">
        <v>68</v>
      </c>
    </row>
    <row r="265" spans="1:10" x14ac:dyDescent="0.25">
      <c r="A265" t="s">
        <v>684</v>
      </c>
      <c r="B265" t="s">
        <v>411</v>
      </c>
      <c r="C265" t="s">
        <v>402</v>
      </c>
      <c r="D265" t="s">
        <v>613</v>
      </c>
      <c r="E265">
        <v>29000</v>
      </c>
      <c r="G265">
        <v>29000</v>
      </c>
      <c r="I265">
        <v>2025</v>
      </c>
      <c r="J265" t="s">
        <v>68</v>
      </c>
    </row>
    <row r="266" spans="1:10" x14ac:dyDescent="0.25">
      <c r="A266" t="s">
        <v>685</v>
      </c>
      <c r="B266" t="s">
        <v>411</v>
      </c>
      <c r="C266" t="s">
        <v>686</v>
      </c>
      <c r="D266" t="s">
        <v>613</v>
      </c>
      <c r="E266">
        <v>29000</v>
      </c>
      <c r="G266">
        <v>29000</v>
      </c>
      <c r="I266">
        <v>2025</v>
      </c>
      <c r="J266" t="s">
        <v>68</v>
      </c>
    </row>
    <row r="267" spans="1:10" x14ac:dyDescent="0.25">
      <c r="A267" t="s">
        <v>687</v>
      </c>
      <c r="B267" t="s">
        <v>411</v>
      </c>
      <c r="C267" t="s">
        <v>404</v>
      </c>
      <c r="D267" t="s">
        <v>613</v>
      </c>
      <c r="E267">
        <v>21000</v>
      </c>
      <c r="G267">
        <v>21000</v>
      </c>
      <c r="I267">
        <v>2025</v>
      </c>
      <c r="J267" t="s">
        <v>68</v>
      </c>
    </row>
    <row r="268" spans="1:10" x14ac:dyDescent="0.25">
      <c r="A268" t="s">
        <v>688</v>
      </c>
      <c r="B268" t="s">
        <v>411</v>
      </c>
      <c r="C268" t="s">
        <v>405</v>
      </c>
      <c r="D268" t="s">
        <v>613</v>
      </c>
      <c r="E268">
        <v>21000</v>
      </c>
      <c r="G268">
        <v>21000</v>
      </c>
      <c r="I268">
        <v>2025</v>
      </c>
      <c r="J268" t="s">
        <v>68</v>
      </c>
    </row>
    <row r="269" spans="1:10" x14ac:dyDescent="0.25">
      <c r="A269" t="s">
        <v>689</v>
      </c>
      <c r="B269" t="s">
        <v>411</v>
      </c>
      <c r="C269" t="s">
        <v>690</v>
      </c>
      <c r="D269" t="s">
        <v>613</v>
      </c>
      <c r="E269">
        <v>15000</v>
      </c>
      <c r="G269">
        <v>15000</v>
      </c>
      <c r="I269">
        <v>2025</v>
      </c>
      <c r="J269" t="s">
        <v>68</v>
      </c>
    </row>
    <row r="270" spans="1:10" x14ac:dyDescent="0.25">
      <c r="A270" t="s">
        <v>691</v>
      </c>
      <c r="B270" t="s">
        <v>411</v>
      </c>
      <c r="C270" t="s">
        <v>692</v>
      </c>
      <c r="D270" t="s">
        <v>613</v>
      </c>
      <c r="E270">
        <v>100000</v>
      </c>
      <c r="G270">
        <v>100000</v>
      </c>
      <c r="I270">
        <v>2025</v>
      </c>
      <c r="J270" t="s">
        <v>68</v>
      </c>
    </row>
    <row r="271" spans="1:10" x14ac:dyDescent="0.25">
      <c r="A271" t="s">
        <v>693</v>
      </c>
      <c r="B271" t="s">
        <v>411</v>
      </c>
      <c r="C271" t="s">
        <v>406</v>
      </c>
      <c r="D271" t="s">
        <v>613</v>
      </c>
      <c r="E271">
        <v>12000</v>
      </c>
      <c r="G271">
        <v>12000</v>
      </c>
      <c r="I271">
        <v>2025</v>
      </c>
      <c r="J271" t="s">
        <v>68</v>
      </c>
    </row>
    <row r="272" spans="1:10" x14ac:dyDescent="0.25">
      <c r="A272" t="s">
        <v>694</v>
      </c>
      <c r="B272" t="s">
        <v>411</v>
      </c>
      <c r="C272" t="s">
        <v>407</v>
      </c>
      <c r="D272" t="s">
        <v>613</v>
      </c>
      <c r="E272">
        <v>12000</v>
      </c>
      <c r="G272">
        <v>12000</v>
      </c>
      <c r="I272">
        <v>2025</v>
      </c>
      <c r="J272" t="s">
        <v>68</v>
      </c>
    </row>
    <row r="273" spans="1:10" x14ac:dyDescent="0.25">
      <c r="A273" t="s">
        <v>695</v>
      </c>
      <c r="B273" t="s">
        <v>411</v>
      </c>
      <c r="C273" t="s">
        <v>408</v>
      </c>
      <c r="D273" t="s">
        <v>613</v>
      </c>
      <c r="E273">
        <v>12000</v>
      </c>
      <c r="G273">
        <v>12000</v>
      </c>
      <c r="I273">
        <v>2025</v>
      </c>
      <c r="J273" t="s">
        <v>68</v>
      </c>
    </row>
    <row r="274" spans="1:10" x14ac:dyDescent="0.25">
      <c r="A274" t="s">
        <v>696</v>
      </c>
      <c r="B274" t="s">
        <v>411</v>
      </c>
      <c r="C274" t="s">
        <v>409</v>
      </c>
      <c r="D274" t="s">
        <v>613</v>
      </c>
      <c r="E274">
        <v>12000</v>
      </c>
      <c r="G274">
        <v>12000</v>
      </c>
      <c r="I274">
        <v>2025</v>
      </c>
      <c r="J274" t="s">
        <v>68</v>
      </c>
    </row>
    <row r="275" spans="1:10" x14ac:dyDescent="0.25">
      <c r="A275" t="s">
        <v>697</v>
      </c>
      <c r="B275" t="s">
        <v>411</v>
      </c>
      <c r="C275" t="s">
        <v>410</v>
      </c>
      <c r="D275" t="s">
        <v>613</v>
      </c>
      <c r="E275">
        <v>12000</v>
      </c>
      <c r="G275">
        <v>12000</v>
      </c>
      <c r="I275">
        <v>2025</v>
      </c>
      <c r="J275" t="s">
        <v>68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TextBox1">
          <controlPr defaultSize="0" autoLine="0" r:id="rId4">
            <anchor moveWithCells="1">
              <from>
                <xdr:col>12</xdr:col>
                <xdr:colOff>266700</xdr:colOff>
                <xdr:row>1</xdr:row>
                <xdr:rowOff>123825</xdr:rowOff>
              </from>
              <to>
                <xdr:col>14</xdr:col>
                <xdr:colOff>476250</xdr:colOff>
                <xdr:row>3</xdr:row>
                <xdr:rowOff>57150</xdr:rowOff>
              </to>
            </anchor>
          </controlPr>
        </control>
      </mc:Choice>
      <mc:Fallback>
        <control shapeId="3073" r:id="rId3" name="TextBox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Parametre"/>
  <dimension ref="A1:I14"/>
  <sheetViews>
    <sheetView workbookViewId="0">
      <selection activeCell="G4" sqref="G4"/>
    </sheetView>
  </sheetViews>
  <sheetFormatPr baseColWidth="10" defaultRowHeight="15" x14ac:dyDescent="0.25"/>
  <cols>
    <col min="1" max="1" width="15.42578125" bestFit="1" customWidth="1"/>
    <col min="2" max="2" width="5" customWidth="1"/>
    <col min="3" max="3" width="17.85546875" bestFit="1" customWidth="1"/>
    <col min="5" max="5" width="20.85546875" customWidth="1"/>
    <col min="7" max="7" width="21.85546875" customWidth="1"/>
  </cols>
  <sheetData>
    <row r="1" spans="1:9" x14ac:dyDescent="0.25">
      <c r="A1" t="s">
        <v>35</v>
      </c>
      <c r="C1" t="s">
        <v>40</v>
      </c>
      <c r="E1" t="s">
        <v>41</v>
      </c>
      <c r="G1" t="s">
        <v>44</v>
      </c>
      <c r="I1" s="3" t="s">
        <v>45</v>
      </c>
    </row>
    <row r="2" spans="1:9" x14ac:dyDescent="0.25">
      <c r="A2" t="s">
        <v>37</v>
      </c>
      <c r="C2" t="s">
        <v>38</v>
      </c>
      <c r="E2" t="s">
        <v>42</v>
      </c>
      <c r="G2" t="s">
        <v>111</v>
      </c>
      <c r="I2" s="3" t="s">
        <v>46</v>
      </c>
    </row>
    <row r="3" spans="1:9" x14ac:dyDescent="0.25">
      <c r="A3" t="s">
        <v>36</v>
      </c>
      <c r="C3" t="s">
        <v>39</v>
      </c>
      <c r="E3" t="s">
        <v>43</v>
      </c>
      <c r="G3" t="s">
        <v>68</v>
      </c>
      <c r="I3" s="3" t="s">
        <v>47</v>
      </c>
    </row>
    <row r="4" spans="1:9" x14ac:dyDescent="0.25">
      <c r="I4" s="3" t="s">
        <v>48</v>
      </c>
    </row>
    <row r="5" spans="1:9" x14ac:dyDescent="0.25">
      <c r="I5" s="3" t="s">
        <v>49</v>
      </c>
    </row>
    <row r="6" spans="1:9" x14ac:dyDescent="0.25">
      <c r="I6" s="3" t="s">
        <v>50</v>
      </c>
    </row>
    <row r="7" spans="1:9" x14ac:dyDescent="0.25">
      <c r="I7" s="3" t="s">
        <v>51</v>
      </c>
    </row>
    <row r="8" spans="1:9" x14ac:dyDescent="0.25">
      <c r="I8" s="3" t="s">
        <v>52</v>
      </c>
    </row>
    <row r="9" spans="1:9" x14ac:dyDescent="0.25">
      <c r="I9" s="3" t="s">
        <v>53</v>
      </c>
    </row>
    <row r="10" spans="1:9" x14ac:dyDescent="0.25">
      <c r="I10" s="3" t="s">
        <v>54</v>
      </c>
    </row>
    <row r="11" spans="1:9" x14ac:dyDescent="0.25">
      <c r="I11" s="3" t="s">
        <v>55</v>
      </c>
    </row>
    <row r="12" spans="1:9" x14ac:dyDescent="0.25">
      <c r="I12" s="3" t="s">
        <v>56</v>
      </c>
    </row>
    <row r="13" spans="1:9" x14ac:dyDescent="0.25">
      <c r="I13" s="3" t="s">
        <v>57</v>
      </c>
    </row>
    <row r="14" spans="1:9" x14ac:dyDescent="0.25">
      <c r="I14" s="3"/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Acceuil</vt:lpstr>
      <vt:lpstr>Proprietaire</vt:lpstr>
      <vt:lpstr>Maison</vt:lpstr>
      <vt:lpstr>Locataire</vt:lpstr>
      <vt:lpstr>Souscription</vt:lpstr>
      <vt:lpstr>Reglement</vt:lpstr>
      <vt:lpstr>Parametre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MARLEINE</dc:creator>
  <cp:lastModifiedBy>HP</cp:lastModifiedBy>
  <dcterms:created xsi:type="dcterms:W3CDTF">2025-10-02T07:39:31Z</dcterms:created>
  <dcterms:modified xsi:type="dcterms:W3CDTF">2025-11-07T08:38:28Z</dcterms:modified>
</cp:coreProperties>
</file>